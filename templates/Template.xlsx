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andon\Documents\Proyectos\"/>
    </mc:Choice>
  </mc:AlternateContent>
  <xr:revisionPtr revIDLastSave="0" documentId="13_ncr:1_{89200147-663E-4ED4-9894-EBA75B281DB0}" xr6:coauthVersionLast="47" xr6:coauthVersionMax="47" xr10:uidLastSave="{00000000-0000-0000-0000-000000000000}"/>
  <bookViews>
    <workbookView xWindow="-22416" yWindow="624" windowWidth="17280" windowHeight="9024" xr2:uid="{68B75461-FBA2-451E-B4AC-976356F7AC83}"/>
  </bookViews>
  <sheets>
    <sheet name="General" sheetId="1" r:id="rId1"/>
    <sheet name="Parcial_1" sheetId="3" r:id="rId2"/>
    <sheet name="Parcial_2" sheetId="6" r:id="rId3"/>
    <sheet name="Parcial_3" sheetId="7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10" i="1"/>
  <c r="BJ53" i="7"/>
  <c r="BH53" i="7"/>
  <c r="BG53" i="7"/>
  <c r="BF53" i="7"/>
  <c r="BE53" i="7"/>
  <c r="BD53" i="7"/>
  <c r="BJ52" i="7"/>
  <c r="BH52" i="7"/>
  <c r="BG52" i="7"/>
  <c r="BF52" i="7"/>
  <c r="BE52" i="7"/>
  <c r="BD52" i="7"/>
  <c r="BJ51" i="7"/>
  <c r="BH51" i="7"/>
  <c r="BG51" i="7"/>
  <c r="BF51" i="7"/>
  <c r="BE51" i="7"/>
  <c r="BD51" i="7"/>
  <c r="BJ50" i="7"/>
  <c r="BH50" i="7"/>
  <c r="BG50" i="7"/>
  <c r="BF50" i="7"/>
  <c r="BE50" i="7"/>
  <c r="BD50" i="7"/>
  <c r="BJ49" i="7"/>
  <c r="BH49" i="7"/>
  <c r="BG49" i="7"/>
  <c r="BF49" i="7"/>
  <c r="BE49" i="7"/>
  <c r="BD49" i="7"/>
  <c r="BJ48" i="7"/>
  <c r="BH48" i="7"/>
  <c r="BG48" i="7"/>
  <c r="BF48" i="7"/>
  <c r="BE48" i="7"/>
  <c r="BD48" i="7"/>
  <c r="BJ47" i="7"/>
  <c r="BH47" i="7"/>
  <c r="BG47" i="7"/>
  <c r="BF47" i="7"/>
  <c r="BE47" i="7"/>
  <c r="BD47" i="7"/>
  <c r="BJ46" i="7"/>
  <c r="BH46" i="7"/>
  <c r="BG46" i="7"/>
  <c r="BF46" i="7"/>
  <c r="BE46" i="7"/>
  <c r="BD46" i="7"/>
  <c r="BJ45" i="7"/>
  <c r="BH45" i="7"/>
  <c r="BG45" i="7"/>
  <c r="BF45" i="7"/>
  <c r="BE45" i="7"/>
  <c r="BD45" i="7"/>
  <c r="BJ44" i="7"/>
  <c r="BH44" i="7"/>
  <c r="BG44" i="7"/>
  <c r="BF44" i="7"/>
  <c r="BE44" i="7"/>
  <c r="BD44" i="7"/>
  <c r="BJ43" i="7"/>
  <c r="BH43" i="7"/>
  <c r="BG43" i="7"/>
  <c r="BF43" i="7"/>
  <c r="BE43" i="7"/>
  <c r="BD43" i="7"/>
  <c r="BJ42" i="7"/>
  <c r="BH42" i="7"/>
  <c r="BG42" i="7"/>
  <c r="BF42" i="7"/>
  <c r="BE42" i="7"/>
  <c r="BD42" i="7"/>
  <c r="BJ41" i="7"/>
  <c r="BH41" i="7"/>
  <c r="BG41" i="7"/>
  <c r="BF41" i="7"/>
  <c r="BE41" i="7"/>
  <c r="BD41" i="7"/>
  <c r="BJ40" i="7"/>
  <c r="BH40" i="7"/>
  <c r="BG40" i="7"/>
  <c r="BF40" i="7"/>
  <c r="BE40" i="7"/>
  <c r="BD40" i="7"/>
  <c r="BJ39" i="7"/>
  <c r="BH39" i="7"/>
  <c r="BG39" i="7"/>
  <c r="BF39" i="7"/>
  <c r="BE39" i="7"/>
  <c r="BD39" i="7"/>
  <c r="BJ38" i="7"/>
  <c r="BH38" i="7"/>
  <c r="BG38" i="7"/>
  <c r="BF38" i="7"/>
  <c r="BE38" i="7"/>
  <c r="BD38" i="7"/>
  <c r="BJ37" i="7"/>
  <c r="BH37" i="7"/>
  <c r="BG37" i="7"/>
  <c r="BF37" i="7"/>
  <c r="BE37" i="7"/>
  <c r="BD37" i="7"/>
  <c r="BJ36" i="7"/>
  <c r="BH36" i="7"/>
  <c r="BG36" i="7"/>
  <c r="BF36" i="7"/>
  <c r="BE36" i="7"/>
  <c r="BD36" i="7"/>
  <c r="BJ35" i="7"/>
  <c r="BH35" i="7"/>
  <c r="BG35" i="7"/>
  <c r="BF35" i="7"/>
  <c r="BE35" i="7"/>
  <c r="BD35" i="7"/>
  <c r="BJ34" i="7"/>
  <c r="BH34" i="7"/>
  <c r="BG34" i="7"/>
  <c r="BF34" i="7"/>
  <c r="BE34" i="7"/>
  <c r="BD34" i="7"/>
  <c r="BJ33" i="7"/>
  <c r="BH33" i="7"/>
  <c r="BG33" i="7"/>
  <c r="BF33" i="7"/>
  <c r="BE33" i="7"/>
  <c r="BD33" i="7"/>
  <c r="BJ32" i="7"/>
  <c r="BH32" i="7"/>
  <c r="BG32" i="7"/>
  <c r="BF32" i="7"/>
  <c r="BE32" i="7"/>
  <c r="BD32" i="7"/>
  <c r="BJ31" i="7"/>
  <c r="BH31" i="7"/>
  <c r="BG31" i="7"/>
  <c r="BF31" i="7"/>
  <c r="BE31" i="7"/>
  <c r="BD31" i="7"/>
  <c r="BJ30" i="7"/>
  <c r="BH30" i="7"/>
  <c r="BG30" i="7"/>
  <c r="BF30" i="7"/>
  <c r="BE30" i="7"/>
  <c r="BD30" i="7"/>
  <c r="BJ29" i="7"/>
  <c r="BH29" i="7"/>
  <c r="BG29" i="7"/>
  <c r="BF29" i="7"/>
  <c r="BE29" i="7"/>
  <c r="BD29" i="7"/>
  <c r="BJ28" i="7"/>
  <c r="BH28" i="7"/>
  <c r="BG28" i="7"/>
  <c r="BF28" i="7"/>
  <c r="BE28" i="7"/>
  <c r="BD28" i="7"/>
  <c r="BJ27" i="7"/>
  <c r="BH27" i="7"/>
  <c r="BG27" i="7"/>
  <c r="BF27" i="7"/>
  <c r="BE27" i="7"/>
  <c r="BD27" i="7"/>
  <c r="BJ26" i="7"/>
  <c r="BH26" i="7"/>
  <c r="BG26" i="7"/>
  <c r="BF26" i="7"/>
  <c r="BE26" i="7"/>
  <c r="BD26" i="7"/>
  <c r="BJ25" i="7"/>
  <c r="BH25" i="7"/>
  <c r="BG25" i="7"/>
  <c r="BF25" i="7"/>
  <c r="BE25" i="7"/>
  <c r="BD25" i="7"/>
  <c r="BJ24" i="7"/>
  <c r="BH24" i="7"/>
  <c r="BG24" i="7"/>
  <c r="BF24" i="7"/>
  <c r="BE24" i="7"/>
  <c r="BD24" i="7"/>
  <c r="BJ23" i="7"/>
  <c r="BH23" i="7"/>
  <c r="BG23" i="7"/>
  <c r="BF23" i="7"/>
  <c r="BE23" i="7"/>
  <c r="BD23" i="7"/>
  <c r="BJ22" i="7"/>
  <c r="BH22" i="7"/>
  <c r="BG22" i="7"/>
  <c r="BF22" i="7"/>
  <c r="BE22" i="7"/>
  <c r="BD22" i="7"/>
  <c r="BI22" i="7"/>
  <c r="BJ21" i="7"/>
  <c r="BH21" i="7"/>
  <c r="BG21" i="7"/>
  <c r="BF21" i="7"/>
  <c r="BE21" i="7"/>
  <c r="BD21" i="7"/>
  <c r="BJ20" i="7"/>
  <c r="BH20" i="7"/>
  <c r="BG20" i="7"/>
  <c r="BF20" i="7"/>
  <c r="BE20" i="7"/>
  <c r="BD20" i="7"/>
  <c r="BJ19" i="7"/>
  <c r="BH19" i="7"/>
  <c r="BG19" i="7"/>
  <c r="BF19" i="7"/>
  <c r="BE19" i="7"/>
  <c r="BD19" i="7"/>
  <c r="BJ18" i="7"/>
  <c r="BH18" i="7"/>
  <c r="BG18" i="7"/>
  <c r="BF18" i="7"/>
  <c r="BE18" i="7"/>
  <c r="BD18" i="7"/>
  <c r="BJ17" i="7"/>
  <c r="BH17" i="7"/>
  <c r="BG17" i="7"/>
  <c r="BF17" i="7"/>
  <c r="BE17" i="7"/>
  <c r="BD17" i="7"/>
  <c r="BJ16" i="7"/>
  <c r="BH16" i="7"/>
  <c r="BG16" i="7"/>
  <c r="BF16" i="7"/>
  <c r="BE16" i="7"/>
  <c r="BD16" i="7"/>
  <c r="BJ15" i="7"/>
  <c r="BH15" i="7"/>
  <c r="BG15" i="7"/>
  <c r="BF15" i="7"/>
  <c r="BE15" i="7"/>
  <c r="BD15" i="7"/>
  <c r="BJ14" i="7"/>
  <c r="BH14" i="7"/>
  <c r="BG14" i="7"/>
  <c r="BF14" i="7"/>
  <c r="BE14" i="7"/>
  <c r="BD14" i="7"/>
  <c r="BJ13" i="7"/>
  <c r="BH13" i="7"/>
  <c r="BG13" i="7"/>
  <c r="BF13" i="7"/>
  <c r="BE13" i="7"/>
  <c r="BD13" i="7"/>
  <c r="BJ12" i="7"/>
  <c r="BH12" i="7"/>
  <c r="BG12" i="7"/>
  <c r="BF12" i="7"/>
  <c r="BE12" i="7"/>
  <c r="BD12" i="7"/>
  <c r="BJ11" i="7"/>
  <c r="BH11" i="7"/>
  <c r="BG11" i="7"/>
  <c r="BF11" i="7"/>
  <c r="BE11" i="7"/>
  <c r="BD11" i="7"/>
  <c r="BJ10" i="7"/>
  <c r="BH10" i="7"/>
  <c r="BG10" i="7"/>
  <c r="BF10" i="7"/>
  <c r="BE10" i="7"/>
  <c r="BD10" i="7"/>
  <c r="BJ9" i="7"/>
  <c r="BH9" i="7"/>
  <c r="BG9" i="7"/>
  <c r="BF9" i="7"/>
  <c r="BE9" i="7"/>
  <c r="BD9" i="7"/>
  <c r="BH6" i="7"/>
  <c r="BG6" i="7"/>
  <c r="BF6" i="7"/>
  <c r="BE6" i="7"/>
  <c r="BD6" i="7"/>
  <c r="BJ53" i="6"/>
  <c r="BH53" i="6"/>
  <c r="BG53" i="6"/>
  <c r="BF53" i="6"/>
  <c r="BE53" i="6"/>
  <c r="BD53" i="6"/>
  <c r="BJ52" i="6"/>
  <c r="BH52" i="6"/>
  <c r="BG52" i="6"/>
  <c r="BF52" i="6"/>
  <c r="BE52" i="6"/>
  <c r="BD52" i="6"/>
  <c r="BJ51" i="6"/>
  <c r="BH51" i="6"/>
  <c r="BG51" i="6"/>
  <c r="BF51" i="6"/>
  <c r="BE51" i="6"/>
  <c r="BD51" i="6"/>
  <c r="BJ50" i="6"/>
  <c r="BH50" i="6"/>
  <c r="BG50" i="6"/>
  <c r="BF50" i="6"/>
  <c r="BE50" i="6"/>
  <c r="BD50" i="6"/>
  <c r="BJ49" i="6"/>
  <c r="BH49" i="6"/>
  <c r="BG49" i="6"/>
  <c r="BF49" i="6"/>
  <c r="BE49" i="6"/>
  <c r="BD49" i="6"/>
  <c r="BJ48" i="6"/>
  <c r="BH48" i="6"/>
  <c r="BG48" i="6"/>
  <c r="BF48" i="6"/>
  <c r="BE48" i="6"/>
  <c r="BD48" i="6"/>
  <c r="BJ47" i="6"/>
  <c r="BH47" i="6"/>
  <c r="BG47" i="6"/>
  <c r="BF47" i="6"/>
  <c r="BE47" i="6"/>
  <c r="BD47" i="6"/>
  <c r="BJ46" i="6"/>
  <c r="BH46" i="6"/>
  <c r="BG46" i="6"/>
  <c r="BF46" i="6"/>
  <c r="BE46" i="6"/>
  <c r="BD46" i="6"/>
  <c r="BJ45" i="6"/>
  <c r="BH45" i="6"/>
  <c r="BG45" i="6"/>
  <c r="BF45" i="6"/>
  <c r="BE45" i="6"/>
  <c r="BD45" i="6"/>
  <c r="BJ44" i="6"/>
  <c r="BH44" i="6"/>
  <c r="BG44" i="6"/>
  <c r="BF44" i="6"/>
  <c r="BE44" i="6"/>
  <c r="BD44" i="6"/>
  <c r="BJ43" i="6"/>
  <c r="BH43" i="6"/>
  <c r="BG43" i="6"/>
  <c r="BF43" i="6"/>
  <c r="BE43" i="6"/>
  <c r="BD43" i="6"/>
  <c r="BJ42" i="6"/>
  <c r="BH42" i="6"/>
  <c r="BG42" i="6"/>
  <c r="BF42" i="6"/>
  <c r="BE42" i="6"/>
  <c r="BD42" i="6"/>
  <c r="BJ41" i="6"/>
  <c r="BH41" i="6"/>
  <c r="BG41" i="6"/>
  <c r="BF41" i="6"/>
  <c r="BE41" i="6"/>
  <c r="BD41" i="6"/>
  <c r="BJ40" i="6"/>
  <c r="BH40" i="6"/>
  <c r="BG40" i="6"/>
  <c r="BF40" i="6"/>
  <c r="BE40" i="6"/>
  <c r="BD40" i="6"/>
  <c r="BJ39" i="6"/>
  <c r="BH39" i="6"/>
  <c r="BG39" i="6"/>
  <c r="BF39" i="6"/>
  <c r="BE39" i="6"/>
  <c r="BD39" i="6"/>
  <c r="BJ38" i="6"/>
  <c r="BH38" i="6"/>
  <c r="BG38" i="6"/>
  <c r="BF38" i="6"/>
  <c r="BE38" i="6"/>
  <c r="BD38" i="6"/>
  <c r="BJ37" i="6"/>
  <c r="BH37" i="6"/>
  <c r="BG37" i="6"/>
  <c r="BF37" i="6"/>
  <c r="BE37" i="6"/>
  <c r="BD37" i="6"/>
  <c r="BJ36" i="6"/>
  <c r="BH36" i="6"/>
  <c r="BG36" i="6"/>
  <c r="BF36" i="6"/>
  <c r="BE36" i="6"/>
  <c r="BD36" i="6"/>
  <c r="BJ35" i="6"/>
  <c r="BH35" i="6"/>
  <c r="BG35" i="6"/>
  <c r="BF35" i="6"/>
  <c r="BE35" i="6"/>
  <c r="BD35" i="6"/>
  <c r="BJ34" i="6"/>
  <c r="BH34" i="6"/>
  <c r="BG34" i="6"/>
  <c r="BF34" i="6"/>
  <c r="BE34" i="6"/>
  <c r="BD34" i="6"/>
  <c r="BJ33" i="6"/>
  <c r="BH33" i="6"/>
  <c r="BG33" i="6"/>
  <c r="BF33" i="6"/>
  <c r="BE33" i="6"/>
  <c r="BD33" i="6"/>
  <c r="BJ32" i="6"/>
  <c r="BH32" i="6"/>
  <c r="BG32" i="6"/>
  <c r="BF32" i="6"/>
  <c r="BE32" i="6"/>
  <c r="BD32" i="6"/>
  <c r="BJ31" i="6"/>
  <c r="BH31" i="6"/>
  <c r="BG31" i="6"/>
  <c r="BF31" i="6"/>
  <c r="BE31" i="6"/>
  <c r="BD31" i="6"/>
  <c r="BJ30" i="6"/>
  <c r="BH30" i="6"/>
  <c r="BG30" i="6"/>
  <c r="BF30" i="6"/>
  <c r="BE30" i="6"/>
  <c r="BD30" i="6"/>
  <c r="BJ29" i="6"/>
  <c r="BH29" i="6"/>
  <c r="BG29" i="6"/>
  <c r="BF29" i="6"/>
  <c r="BE29" i="6"/>
  <c r="BD29" i="6"/>
  <c r="BJ28" i="6"/>
  <c r="BH28" i="6"/>
  <c r="BG28" i="6"/>
  <c r="BF28" i="6"/>
  <c r="BE28" i="6"/>
  <c r="BD28" i="6"/>
  <c r="BJ27" i="6"/>
  <c r="BH27" i="6"/>
  <c r="BG27" i="6"/>
  <c r="BF27" i="6"/>
  <c r="BE27" i="6"/>
  <c r="BD27" i="6"/>
  <c r="BJ26" i="6"/>
  <c r="BH26" i="6"/>
  <c r="BG26" i="6"/>
  <c r="BF26" i="6"/>
  <c r="BE26" i="6"/>
  <c r="BD26" i="6"/>
  <c r="BJ25" i="6"/>
  <c r="BH25" i="6"/>
  <c r="BG25" i="6"/>
  <c r="BF25" i="6"/>
  <c r="BE25" i="6"/>
  <c r="BD25" i="6"/>
  <c r="BJ24" i="6"/>
  <c r="BH24" i="6"/>
  <c r="BG24" i="6"/>
  <c r="BF24" i="6"/>
  <c r="BE24" i="6"/>
  <c r="BD24" i="6"/>
  <c r="BJ23" i="6"/>
  <c r="BH23" i="6"/>
  <c r="BG23" i="6"/>
  <c r="BF23" i="6"/>
  <c r="BE23" i="6"/>
  <c r="BD23" i="6"/>
  <c r="BJ22" i="6"/>
  <c r="BH22" i="6"/>
  <c r="BG22" i="6"/>
  <c r="BF22" i="6"/>
  <c r="BE22" i="6"/>
  <c r="BD22" i="6"/>
  <c r="BJ21" i="6"/>
  <c r="BH21" i="6"/>
  <c r="BG21" i="6"/>
  <c r="BF21" i="6"/>
  <c r="BE21" i="6"/>
  <c r="BD21" i="6"/>
  <c r="BJ20" i="6"/>
  <c r="BH20" i="6"/>
  <c r="BG20" i="6"/>
  <c r="BF20" i="6"/>
  <c r="BE20" i="6"/>
  <c r="BD20" i="6"/>
  <c r="BJ19" i="6"/>
  <c r="BH19" i="6"/>
  <c r="BG19" i="6"/>
  <c r="BF19" i="6"/>
  <c r="BE19" i="6"/>
  <c r="BD19" i="6"/>
  <c r="BJ18" i="6"/>
  <c r="BH18" i="6"/>
  <c r="BG18" i="6"/>
  <c r="BF18" i="6"/>
  <c r="BE18" i="6"/>
  <c r="BD18" i="6"/>
  <c r="BJ17" i="6"/>
  <c r="BH17" i="6"/>
  <c r="BG17" i="6"/>
  <c r="BF17" i="6"/>
  <c r="BE17" i="6"/>
  <c r="BD17" i="6"/>
  <c r="BJ16" i="6"/>
  <c r="BH16" i="6"/>
  <c r="BG16" i="6"/>
  <c r="BF16" i="6"/>
  <c r="BE16" i="6"/>
  <c r="BD16" i="6"/>
  <c r="BJ15" i="6"/>
  <c r="BH15" i="6"/>
  <c r="BG15" i="6"/>
  <c r="BF15" i="6"/>
  <c r="BE15" i="6"/>
  <c r="BD15" i="6"/>
  <c r="BJ14" i="6"/>
  <c r="BH14" i="6"/>
  <c r="BG14" i="6"/>
  <c r="BF14" i="6"/>
  <c r="BE14" i="6"/>
  <c r="BD14" i="6"/>
  <c r="BJ13" i="6"/>
  <c r="BH13" i="6"/>
  <c r="BG13" i="6"/>
  <c r="BF13" i="6"/>
  <c r="BE13" i="6"/>
  <c r="BD13" i="6"/>
  <c r="BJ12" i="6"/>
  <c r="BH12" i="6"/>
  <c r="BG12" i="6"/>
  <c r="BF12" i="6"/>
  <c r="BE12" i="6"/>
  <c r="BD12" i="6"/>
  <c r="BJ11" i="6"/>
  <c r="BH11" i="6"/>
  <c r="BG11" i="6"/>
  <c r="BF11" i="6"/>
  <c r="BE11" i="6"/>
  <c r="BD11" i="6"/>
  <c r="BJ10" i="6"/>
  <c r="BH10" i="6"/>
  <c r="BG10" i="6"/>
  <c r="BF10" i="6"/>
  <c r="BE10" i="6"/>
  <c r="BD10" i="6"/>
  <c r="BJ9" i="6"/>
  <c r="BH9" i="6"/>
  <c r="BG9" i="6"/>
  <c r="BF9" i="6"/>
  <c r="BE9" i="6"/>
  <c r="BD9" i="6"/>
  <c r="BH6" i="6"/>
  <c r="BG6" i="6"/>
  <c r="BF6" i="6"/>
  <c r="BE6" i="6"/>
  <c r="BD6" i="6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9" i="3"/>
  <c r="BD9" i="3"/>
  <c r="H10" i="1"/>
  <c r="H11" i="1"/>
  <c r="H12" i="1"/>
  <c r="BI36" i="7"/>
  <c r="BI12" i="6"/>
  <c r="BI16" i="6"/>
  <c r="BI20" i="6"/>
  <c r="BI28" i="6"/>
  <c r="BI32" i="6"/>
  <c r="BI36" i="6"/>
  <c r="BI44" i="6"/>
  <c r="BI48" i="6"/>
  <c r="BI52" i="6"/>
  <c r="BI19" i="7"/>
  <c r="BI11" i="6"/>
  <c r="BI23" i="6"/>
  <c r="BI27" i="6"/>
  <c r="BI43" i="6"/>
  <c r="BI21" i="7"/>
  <c r="BI25" i="7"/>
  <c r="BI29" i="7"/>
  <c r="BI41" i="7"/>
  <c r="BI45" i="7"/>
  <c r="BI30" i="7"/>
  <c r="BI13" i="7"/>
  <c r="BI53" i="7"/>
  <c r="BI12" i="7"/>
  <c r="BI44" i="7"/>
  <c r="BI50" i="7"/>
  <c r="BI34" i="7"/>
  <c r="BI37" i="7"/>
  <c r="BI16" i="7"/>
  <c r="BI52" i="7"/>
  <c r="BI28" i="7"/>
  <c r="BI11" i="7"/>
  <c r="BI34" i="6"/>
  <c r="BI50" i="6"/>
  <c r="BI21" i="6"/>
  <c r="BI37" i="6"/>
  <c r="BI53" i="6"/>
  <c r="BI39" i="7"/>
  <c r="BI20" i="7"/>
  <c r="BI13" i="6"/>
  <c r="BI29" i="6"/>
  <c r="BI45" i="6"/>
  <c r="BI23" i="7"/>
  <c r="BI18" i="7"/>
  <c r="BI14" i="6"/>
  <c r="BI22" i="6"/>
  <c r="BI30" i="6"/>
  <c r="BI38" i="6"/>
  <c r="BI46" i="6"/>
  <c r="BI32" i="7"/>
  <c r="BI48" i="7"/>
  <c r="BI9" i="6"/>
  <c r="BI25" i="6"/>
  <c r="BI41" i="6"/>
  <c r="BI27" i="7"/>
  <c r="BI35" i="7"/>
  <c r="BI43" i="7"/>
  <c r="BI51" i="7"/>
  <c r="BI14" i="7"/>
  <c r="BI31" i="6"/>
  <c r="BI19" i="6"/>
  <c r="BI35" i="6"/>
  <c r="BI51" i="6"/>
  <c r="BI47" i="6"/>
  <c r="BI15" i="6"/>
  <c r="BI15" i="7"/>
  <c r="BI31" i="7"/>
  <c r="BI47" i="7"/>
  <c r="BI17" i="7"/>
  <c r="BI33" i="7"/>
  <c r="BI49" i="7"/>
  <c r="BI10" i="6"/>
  <c r="BI26" i="6"/>
  <c r="BI42" i="6"/>
  <c r="BI24" i="6"/>
  <c r="BI40" i="6"/>
  <c r="BI10" i="7"/>
  <c r="BI26" i="7"/>
  <c r="BI42" i="7"/>
  <c r="BI17" i="6"/>
  <c r="BI24" i="7"/>
  <c r="BI33" i="6"/>
  <c r="BI40" i="7"/>
  <c r="BI49" i="6"/>
  <c r="BI18" i="6"/>
  <c r="BI39" i="6"/>
  <c r="BI9" i="7"/>
  <c r="BI38" i="7"/>
  <c r="BI46" i="7"/>
  <c r="BD6" i="3"/>
  <c r="G63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C54" i="7"/>
  <c r="B54" i="7"/>
  <c r="A54" i="7"/>
  <c r="C53" i="7"/>
  <c r="B53" i="7"/>
  <c r="A53" i="7"/>
  <c r="C52" i="7"/>
  <c r="B52" i="7"/>
  <c r="A52" i="7"/>
  <c r="C51" i="7"/>
  <c r="B51" i="7"/>
  <c r="A51" i="7"/>
  <c r="C50" i="7"/>
  <c r="B50" i="7"/>
  <c r="A50" i="7"/>
  <c r="C49" i="7"/>
  <c r="B49" i="7"/>
  <c r="A49" i="7"/>
  <c r="C48" i="7"/>
  <c r="B48" i="7"/>
  <c r="A48" i="7"/>
  <c r="C47" i="7"/>
  <c r="B47" i="7"/>
  <c r="A47" i="7"/>
  <c r="C46" i="7"/>
  <c r="B46" i="7"/>
  <c r="A46" i="7"/>
  <c r="C45" i="7"/>
  <c r="B45" i="7"/>
  <c r="A45" i="7"/>
  <c r="C44" i="7"/>
  <c r="B44" i="7"/>
  <c r="A44" i="7"/>
  <c r="C43" i="7"/>
  <c r="B43" i="7"/>
  <c r="A43" i="7"/>
  <c r="C42" i="7"/>
  <c r="B42" i="7"/>
  <c r="A42" i="7"/>
  <c r="C41" i="7"/>
  <c r="B41" i="7"/>
  <c r="A41" i="7"/>
  <c r="C40" i="7"/>
  <c r="B40" i="7"/>
  <c r="A40" i="7"/>
  <c r="C39" i="7"/>
  <c r="B39" i="7"/>
  <c r="A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5" i="7"/>
  <c r="A5" i="7"/>
  <c r="U4" i="7"/>
  <c r="Q4" i="7"/>
  <c r="M4" i="7"/>
  <c r="I4" i="7"/>
  <c r="E4" i="7"/>
  <c r="C4" i="7"/>
  <c r="A4" i="7"/>
  <c r="U3" i="7"/>
  <c r="Q3" i="7"/>
  <c r="M3" i="7"/>
  <c r="I3" i="7"/>
  <c r="E3" i="7"/>
  <c r="C3" i="7"/>
  <c r="A3" i="7"/>
  <c r="E2" i="7"/>
  <c r="C54" i="6"/>
  <c r="B54" i="6"/>
  <c r="A54" i="6"/>
  <c r="C53" i="6"/>
  <c r="B53" i="6"/>
  <c r="A53" i="6"/>
  <c r="C52" i="6"/>
  <c r="B52" i="6"/>
  <c r="A52" i="6"/>
  <c r="C51" i="6"/>
  <c r="B51" i="6"/>
  <c r="A51" i="6"/>
  <c r="C50" i="6"/>
  <c r="B50" i="6"/>
  <c r="A50" i="6"/>
  <c r="C49" i="6"/>
  <c r="B49" i="6"/>
  <c r="A49" i="6"/>
  <c r="C48" i="6"/>
  <c r="B48" i="6"/>
  <c r="A48" i="6"/>
  <c r="C47" i="6"/>
  <c r="B47" i="6"/>
  <c r="A47" i="6"/>
  <c r="C46" i="6"/>
  <c r="B46" i="6"/>
  <c r="A46" i="6"/>
  <c r="C45" i="6"/>
  <c r="B45" i="6"/>
  <c r="A45" i="6"/>
  <c r="C44" i="6"/>
  <c r="B44" i="6"/>
  <c r="A44" i="6"/>
  <c r="C43" i="6"/>
  <c r="B43" i="6"/>
  <c r="A43" i="6"/>
  <c r="C42" i="6"/>
  <c r="B42" i="6"/>
  <c r="A42" i="6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C35" i="6"/>
  <c r="B35" i="6"/>
  <c r="A35" i="6"/>
  <c r="C34" i="6"/>
  <c r="B34" i="6"/>
  <c r="A34" i="6"/>
  <c r="C33" i="6"/>
  <c r="B33" i="6"/>
  <c r="A33" i="6"/>
  <c r="C32" i="6"/>
  <c r="B32" i="6"/>
  <c r="A32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C5" i="6"/>
  <c r="A5" i="6"/>
  <c r="U4" i="6"/>
  <c r="Q4" i="6"/>
  <c r="M4" i="6"/>
  <c r="I4" i="6"/>
  <c r="E4" i="6"/>
  <c r="C4" i="6"/>
  <c r="A4" i="6"/>
  <c r="U3" i="6"/>
  <c r="Q3" i="6"/>
  <c r="M3" i="6"/>
  <c r="I3" i="6"/>
  <c r="E3" i="6"/>
  <c r="C3" i="6"/>
  <c r="A3" i="6"/>
  <c r="E2" i="6"/>
  <c r="BE10" i="3"/>
  <c r="BF10" i="3"/>
  <c r="BG10" i="3"/>
  <c r="BH10" i="3"/>
  <c r="BE11" i="3"/>
  <c r="BF11" i="3"/>
  <c r="BG11" i="3"/>
  <c r="BH11" i="3"/>
  <c r="BE12" i="3"/>
  <c r="BF12" i="3"/>
  <c r="BG12" i="3"/>
  <c r="BH12" i="3"/>
  <c r="BE13" i="3"/>
  <c r="BF13" i="3"/>
  <c r="BG13" i="3"/>
  <c r="BH13" i="3"/>
  <c r="BE14" i="3"/>
  <c r="BF14" i="3"/>
  <c r="BG14" i="3"/>
  <c r="BH14" i="3"/>
  <c r="BE15" i="3"/>
  <c r="BF15" i="3"/>
  <c r="BG15" i="3"/>
  <c r="BH15" i="3"/>
  <c r="BE16" i="3"/>
  <c r="BF16" i="3"/>
  <c r="BG16" i="3"/>
  <c r="BH16" i="3"/>
  <c r="BE17" i="3"/>
  <c r="BF17" i="3"/>
  <c r="BG17" i="3"/>
  <c r="BH17" i="3"/>
  <c r="BE18" i="3"/>
  <c r="BF18" i="3"/>
  <c r="BG18" i="3"/>
  <c r="BH18" i="3"/>
  <c r="BE19" i="3"/>
  <c r="BF19" i="3"/>
  <c r="BG19" i="3"/>
  <c r="BH19" i="3"/>
  <c r="BE20" i="3"/>
  <c r="BF20" i="3"/>
  <c r="BG20" i="3"/>
  <c r="BH20" i="3"/>
  <c r="BE21" i="3"/>
  <c r="BF21" i="3"/>
  <c r="BG21" i="3"/>
  <c r="BH21" i="3"/>
  <c r="BE22" i="3"/>
  <c r="BF22" i="3"/>
  <c r="BG22" i="3"/>
  <c r="BH22" i="3"/>
  <c r="BE23" i="3"/>
  <c r="BF23" i="3"/>
  <c r="BG23" i="3"/>
  <c r="BH23" i="3"/>
  <c r="BE24" i="3"/>
  <c r="BF24" i="3"/>
  <c r="BG24" i="3"/>
  <c r="BH24" i="3"/>
  <c r="BE25" i="3"/>
  <c r="BF25" i="3"/>
  <c r="BG25" i="3"/>
  <c r="BH25" i="3"/>
  <c r="BE26" i="3"/>
  <c r="BF26" i="3"/>
  <c r="BG26" i="3"/>
  <c r="BH26" i="3"/>
  <c r="BE27" i="3"/>
  <c r="BF27" i="3"/>
  <c r="BG27" i="3"/>
  <c r="BH27" i="3"/>
  <c r="BE28" i="3"/>
  <c r="BF28" i="3"/>
  <c r="BG28" i="3"/>
  <c r="BH28" i="3"/>
  <c r="BE29" i="3"/>
  <c r="BF29" i="3"/>
  <c r="BG29" i="3"/>
  <c r="BH29" i="3"/>
  <c r="BE30" i="3"/>
  <c r="BF30" i="3"/>
  <c r="BG30" i="3"/>
  <c r="BH30" i="3"/>
  <c r="BE31" i="3"/>
  <c r="BF31" i="3"/>
  <c r="BG31" i="3"/>
  <c r="BH31" i="3"/>
  <c r="BE32" i="3"/>
  <c r="BF32" i="3"/>
  <c r="BG32" i="3"/>
  <c r="BH32" i="3"/>
  <c r="BE33" i="3"/>
  <c r="BF33" i="3"/>
  <c r="BG33" i="3"/>
  <c r="BH33" i="3"/>
  <c r="BE34" i="3"/>
  <c r="BF34" i="3"/>
  <c r="BG34" i="3"/>
  <c r="BH34" i="3"/>
  <c r="BE35" i="3"/>
  <c r="BF35" i="3"/>
  <c r="BG35" i="3"/>
  <c r="BH35" i="3"/>
  <c r="BE36" i="3"/>
  <c r="BF36" i="3"/>
  <c r="BG36" i="3"/>
  <c r="BH36" i="3"/>
  <c r="BE37" i="3"/>
  <c r="BF37" i="3"/>
  <c r="BG37" i="3"/>
  <c r="BH37" i="3"/>
  <c r="BE38" i="3"/>
  <c r="BF38" i="3"/>
  <c r="BG38" i="3"/>
  <c r="BH38" i="3"/>
  <c r="BE39" i="3"/>
  <c r="BF39" i="3"/>
  <c r="BG39" i="3"/>
  <c r="BH39" i="3"/>
  <c r="BE40" i="3"/>
  <c r="BF40" i="3"/>
  <c r="BG40" i="3"/>
  <c r="BH40" i="3"/>
  <c r="BE41" i="3"/>
  <c r="BF41" i="3"/>
  <c r="BG41" i="3"/>
  <c r="BH41" i="3"/>
  <c r="BE42" i="3"/>
  <c r="BF42" i="3"/>
  <c r="BG42" i="3"/>
  <c r="BH42" i="3"/>
  <c r="BE43" i="3"/>
  <c r="BF43" i="3"/>
  <c r="BG43" i="3"/>
  <c r="BH43" i="3"/>
  <c r="BE44" i="3"/>
  <c r="BF44" i="3"/>
  <c r="BG44" i="3"/>
  <c r="BH44" i="3"/>
  <c r="BE45" i="3"/>
  <c r="BF45" i="3"/>
  <c r="BG45" i="3"/>
  <c r="BH45" i="3"/>
  <c r="BE46" i="3"/>
  <c r="BF46" i="3"/>
  <c r="BG46" i="3"/>
  <c r="BH46" i="3"/>
  <c r="BE47" i="3"/>
  <c r="BF47" i="3"/>
  <c r="BG47" i="3"/>
  <c r="BH47" i="3"/>
  <c r="BE48" i="3"/>
  <c r="BF48" i="3"/>
  <c r="BG48" i="3"/>
  <c r="BH48" i="3"/>
  <c r="BE49" i="3"/>
  <c r="BF49" i="3"/>
  <c r="BG49" i="3"/>
  <c r="BH49" i="3"/>
  <c r="BE50" i="3"/>
  <c r="BF50" i="3"/>
  <c r="BG50" i="3"/>
  <c r="BH50" i="3"/>
  <c r="BE51" i="3"/>
  <c r="BF51" i="3"/>
  <c r="BG51" i="3"/>
  <c r="BH51" i="3"/>
  <c r="BE52" i="3"/>
  <c r="BF52" i="3"/>
  <c r="BG52" i="3"/>
  <c r="BH52" i="3"/>
  <c r="BE53" i="3"/>
  <c r="BF53" i="3"/>
  <c r="BG53" i="3"/>
  <c r="BH53" i="3"/>
  <c r="U3" i="3"/>
  <c r="Q3" i="3"/>
  <c r="M3" i="3"/>
  <c r="I3" i="3"/>
  <c r="E3" i="3"/>
  <c r="E2" i="3"/>
  <c r="BI52" i="3"/>
  <c r="BI36" i="3"/>
  <c r="D37" i="1"/>
  <c r="BI20" i="3"/>
  <c r="D21" i="1"/>
  <c r="BI13" i="3"/>
  <c r="BI38" i="3"/>
  <c r="BI22" i="3"/>
  <c r="BI45" i="3"/>
  <c r="BI29" i="3"/>
  <c r="BI41" i="3"/>
  <c r="BI25" i="3"/>
  <c r="BI46" i="3"/>
  <c r="BI30" i="3"/>
  <c r="BI14" i="3"/>
  <c r="BI49" i="3"/>
  <c r="BI33" i="3"/>
  <c r="BI17" i="3"/>
  <c r="BI42" i="3"/>
  <c r="BI26" i="3"/>
  <c r="BI10" i="3"/>
  <c r="BI39" i="3"/>
  <c r="BI23" i="3"/>
  <c r="BI48" i="3"/>
  <c r="BI32" i="3"/>
  <c r="BI16" i="3"/>
  <c r="BI51" i="3"/>
  <c r="D52" i="1"/>
  <c r="BI35" i="3"/>
  <c r="D36" i="1"/>
  <c r="BI19" i="3"/>
  <c r="D20" i="1"/>
  <c r="E11" i="1"/>
  <c r="E13" i="1"/>
  <c r="E15" i="1"/>
  <c r="E17" i="1"/>
  <c r="E19" i="1"/>
  <c r="E21" i="1"/>
  <c r="E23" i="1"/>
  <c r="E25" i="1"/>
  <c r="E31" i="1"/>
  <c r="E33" i="1"/>
  <c r="E39" i="1"/>
  <c r="E41" i="1"/>
  <c r="E43" i="1"/>
  <c r="E47" i="1"/>
  <c r="E49" i="1"/>
  <c r="E51" i="1"/>
  <c r="E53" i="1"/>
  <c r="F11" i="1"/>
  <c r="F13" i="1"/>
  <c r="F17" i="1"/>
  <c r="F19" i="1"/>
  <c r="F21" i="1"/>
  <c r="F23" i="1"/>
  <c r="F25" i="1"/>
  <c r="F27" i="1"/>
  <c r="F29" i="1"/>
  <c r="F31" i="1"/>
  <c r="F33" i="1"/>
  <c r="F35" i="1"/>
  <c r="F37" i="1"/>
  <c r="F39" i="1"/>
  <c r="F41" i="1"/>
  <c r="F43" i="1"/>
  <c r="F45" i="1"/>
  <c r="F49" i="1"/>
  <c r="F51" i="1"/>
  <c r="F53" i="1"/>
  <c r="BI12" i="3"/>
  <c r="BI47" i="3"/>
  <c r="BI31" i="3"/>
  <c r="BI15" i="3"/>
  <c r="BI50" i="3"/>
  <c r="D51" i="1"/>
  <c r="BI34" i="3"/>
  <c r="D35" i="1"/>
  <c r="BI18" i="3"/>
  <c r="D19" i="1"/>
  <c r="BI53" i="3"/>
  <c r="D54" i="1"/>
  <c r="BI37" i="3"/>
  <c r="D38" i="1"/>
  <c r="BI21" i="3"/>
  <c r="D22" i="1"/>
  <c r="BI40" i="3"/>
  <c r="BI24" i="3"/>
  <c r="BI44" i="3"/>
  <c r="BI28" i="3"/>
  <c r="BI43" i="3"/>
  <c r="BI27" i="3"/>
  <c r="BI11" i="3"/>
  <c r="E10" i="1"/>
  <c r="E12" i="1"/>
  <c r="E14" i="1"/>
  <c r="E16" i="1"/>
  <c r="E18" i="1"/>
  <c r="E20" i="1"/>
  <c r="E22" i="1"/>
  <c r="E24" i="1"/>
  <c r="E26" i="1"/>
  <c r="E28" i="1"/>
  <c r="E30" i="1"/>
  <c r="E36" i="1"/>
  <c r="E38" i="1"/>
  <c r="E40" i="1"/>
  <c r="E44" i="1"/>
  <c r="E46" i="1"/>
  <c r="E48" i="1"/>
  <c r="E50" i="1"/>
  <c r="E52" i="1"/>
  <c r="E54" i="1"/>
  <c r="F10" i="1"/>
  <c r="F12" i="1"/>
  <c r="F14" i="1"/>
  <c r="F16" i="1"/>
  <c r="F22" i="1"/>
  <c r="F24" i="1"/>
  <c r="F30" i="1"/>
  <c r="F32" i="1"/>
  <c r="F34" i="1"/>
  <c r="F36" i="1"/>
  <c r="F38" i="1"/>
  <c r="F40" i="1"/>
  <c r="F42" i="1"/>
  <c r="F44" i="1"/>
  <c r="F46" i="1"/>
  <c r="F48" i="1"/>
  <c r="F52" i="1"/>
  <c r="F54" i="1"/>
  <c r="F18" i="1"/>
  <c r="F26" i="1"/>
  <c r="F50" i="1"/>
  <c r="F20" i="1"/>
  <c r="F28" i="1"/>
  <c r="E27" i="1"/>
  <c r="E29" i="1"/>
  <c r="E35" i="1"/>
  <c r="E45" i="1"/>
  <c r="E34" i="1"/>
  <c r="E42" i="1"/>
  <c r="F15" i="1"/>
  <c r="F47" i="1"/>
  <c r="D53" i="1"/>
  <c r="E32" i="1"/>
  <c r="E37" i="1"/>
  <c r="A5" i="3"/>
  <c r="A4" i="3"/>
  <c r="A3" i="3"/>
  <c r="C5" i="3"/>
  <c r="C4" i="3"/>
  <c r="C3" i="3"/>
  <c r="BH9" i="3"/>
  <c r="BG9" i="3"/>
  <c r="BF9" i="3"/>
  <c r="BE9" i="3"/>
  <c r="BH6" i="3"/>
  <c r="BG6" i="3"/>
  <c r="BF6" i="3"/>
  <c r="BE6" i="3"/>
  <c r="U4" i="3"/>
  <c r="Q4" i="3"/>
  <c r="M4" i="3"/>
  <c r="I4" i="3"/>
  <c r="E4" i="3"/>
  <c r="I49" i="1"/>
  <c r="I50" i="1"/>
  <c r="I51" i="1"/>
  <c r="I52" i="1"/>
  <c r="I53" i="1"/>
  <c r="I54" i="1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9" i="3"/>
  <c r="BI9" i="3"/>
  <c r="D10" i="1"/>
  <c r="G10" i="1"/>
  <c r="I10" i="1"/>
  <c r="G53" i="1"/>
  <c r="G51" i="1"/>
  <c r="G54" i="1"/>
  <c r="G52" i="1"/>
  <c r="D39" i="1"/>
  <c r="D23" i="1"/>
  <c r="D18" i="1"/>
  <c r="D33" i="1"/>
  <c r="D48" i="1"/>
  <c r="D16" i="1"/>
  <c r="D31" i="1"/>
  <c r="D14" i="1"/>
  <c r="D45" i="1"/>
  <c r="D13" i="1"/>
  <c r="D44" i="1"/>
  <c r="D28" i="1"/>
  <c r="D12" i="1"/>
  <c r="G12" i="1"/>
  <c r="I12" i="1"/>
  <c r="D43" i="1"/>
  <c r="D27" i="1"/>
  <c r="D11" i="1"/>
  <c r="G11" i="1"/>
  <c r="I11" i="1"/>
  <c r="D34" i="1"/>
  <c r="D17" i="1"/>
  <c r="D32" i="1"/>
  <c r="D47" i="1"/>
  <c r="D15" i="1"/>
  <c r="D46" i="1"/>
  <c r="D30" i="1"/>
  <c r="D29" i="1"/>
  <c r="D42" i="1"/>
  <c r="D25" i="1"/>
  <c r="D40" i="1"/>
  <c r="D24" i="1"/>
  <c r="D50" i="1"/>
  <c r="G50" i="1"/>
  <c r="D49" i="1"/>
  <c r="G49" i="1"/>
  <c r="D26" i="1"/>
  <c r="D41" i="1"/>
  <c r="G13" i="1"/>
  <c r="I13" i="1"/>
  <c r="G14" i="1"/>
  <c r="I14" i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6" i="1"/>
  <c r="I26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4" i="1"/>
  <c r="I34" i="1"/>
  <c r="G35" i="1"/>
  <c r="I35" i="1"/>
  <c r="G36" i="1"/>
  <c r="I36" i="1"/>
  <c r="G37" i="1"/>
  <c r="I37" i="1"/>
  <c r="G38" i="1"/>
  <c r="I38" i="1"/>
  <c r="G39" i="1"/>
  <c r="I39" i="1"/>
  <c r="G40" i="1"/>
  <c r="I40" i="1"/>
  <c r="G41" i="1"/>
  <c r="I41" i="1"/>
  <c r="G42" i="1"/>
  <c r="I42" i="1"/>
  <c r="G43" i="1"/>
  <c r="I43" i="1"/>
  <c r="G44" i="1"/>
  <c r="I44" i="1"/>
  <c r="G45" i="1"/>
  <c r="I45" i="1"/>
  <c r="G46" i="1"/>
  <c r="I46" i="1"/>
  <c r="G47" i="1"/>
  <c r="I47" i="1"/>
  <c r="G48" i="1"/>
  <c r="I48" i="1"/>
  <c r="G61" i="1"/>
  <c r="G59" i="1"/>
  <c r="G5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<sst xmlns="http://schemas.openxmlformats.org/spreadsheetml/2006/main" count="61" uniqueCount="33">
  <si>
    <t>Matrícula</t>
  </si>
  <si>
    <t>No.</t>
  </si>
  <si>
    <t>Parcial 1</t>
  </si>
  <si>
    <t>Parcial 2</t>
  </si>
  <si>
    <t>Parcial 3</t>
  </si>
  <si>
    <t>Promedio</t>
  </si>
  <si>
    <t>Asistencia</t>
  </si>
  <si>
    <t>Calif Ordinario</t>
  </si>
  <si>
    <t>Ordinario</t>
  </si>
  <si>
    <t>Extraordinario</t>
  </si>
  <si>
    <t>Nombre</t>
  </si>
  <si>
    <t>Exentos</t>
  </si>
  <si>
    <t>Docente:</t>
  </si>
  <si>
    <t>Grupo:</t>
  </si>
  <si>
    <t>Asignatura:</t>
  </si>
  <si>
    <t>Ponderaciones</t>
  </si>
  <si>
    <t>Actividades</t>
  </si>
  <si>
    <t>Evidencias</t>
  </si>
  <si>
    <t>Producto</t>
  </si>
  <si>
    <t>Examen</t>
  </si>
  <si>
    <t>Actividades de Aprendizaje</t>
  </si>
  <si>
    <t>Evidencias de Aprendizaje</t>
  </si>
  <si>
    <t>Producto del Parcial</t>
  </si>
  <si>
    <t>Examen Parcial</t>
  </si>
  <si>
    <t>Calificación</t>
  </si>
  <si>
    <t>NA</t>
  </si>
  <si>
    <t>Ordinarios</t>
  </si>
  <si>
    <t>Extraordinarios</t>
  </si>
  <si>
    <t>Faltas por retardos</t>
  </si>
  <si>
    <t>Porcentaje de asistencia</t>
  </si>
  <si>
    <t>HABILIDADES SOCIALES</t>
  </si>
  <si>
    <t>EVANGELINA REYES AYALA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</si>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</sst>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\-0.00;;@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76F4F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7A05"/>
        <bgColor indexed="64"/>
      </patternFill>
    </fill>
    <fill>
      <patternFill patternType="solid">
        <fgColor rgb="FFFFD5EA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3F6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BF5F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ouble">
        <color indexed="64"/>
      </bottom>
      <diagonal/>
    </border>
    <border>
      <left style="dashed">
        <color indexed="64"/>
      </left>
      <right/>
      <top style="double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67">
    <xf numFmtId="0" fontId="0" fillId="0" borderId="0" xfId="0"/>
    <xf numFmtId="0" fontId="0" fillId="0" borderId="0" xfId="0" applyProtection="1">
      <protection locked="0"/>
    </xf>
    <xf numFmtId="9" fontId="2" fillId="0" borderId="27" xfId="0" applyNumberFormat="1" applyFont="1" applyBorder="1" applyAlignment="1" applyProtection="1">
      <alignment horizontal="center" vertical="center"/>
      <protection locked="0"/>
    </xf>
    <xf numFmtId="9" fontId="2" fillId="0" borderId="18" xfId="0" applyNumberFormat="1" applyFont="1" applyBorder="1" applyAlignment="1" applyProtection="1">
      <alignment horizontal="center" vertical="center"/>
      <protection locked="0"/>
    </xf>
    <xf numFmtId="9" fontId="2" fillId="0" borderId="19" xfId="0" applyNumberFormat="1" applyFont="1" applyBorder="1" applyAlignment="1" applyProtection="1">
      <alignment horizontal="center" vertical="center"/>
      <protection locked="0"/>
    </xf>
    <xf numFmtId="0" fontId="0" fillId="0" borderId="29" xfId="0" applyBorder="1" applyProtection="1"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5" borderId="2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9" fontId="0" fillId="5" borderId="11" xfId="1" applyFont="1" applyFill="1" applyBorder="1" applyAlignment="1" applyProtection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8" xfId="0" applyBorder="1"/>
    <xf numFmtId="0" fontId="0" fillId="0" borderId="12" xfId="0" applyBorder="1"/>
    <xf numFmtId="2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13" xfId="0" applyBorder="1"/>
    <xf numFmtId="2" fontId="0" fillId="0" borderId="9" xfId="0" applyNumberForma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10" xfId="0" applyBorder="1"/>
    <xf numFmtId="0" fontId="0" fillId="0" borderId="15" xfId="0" applyBorder="1"/>
    <xf numFmtId="2" fontId="0" fillId="0" borderId="10" xfId="0" applyNumberFormat="1" applyBorder="1" applyAlignment="1">
      <alignment horizontal="center" vertical="center"/>
    </xf>
    <xf numFmtId="9" fontId="0" fillId="5" borderId="9" xfId="1" applyFont="1" applyFill="1" applyBorder="1" applyAlignment="1" applyProtection="1">
      <alignment horizontal="center" vertical="center"/>
    </xf>
    <xf numFmtId="0" fontId="0" fillId="0" borderId="28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30" xfId="0" applyBorder="1" applyProtection="1">
      <protection locked="0"/>
    </xf>
    <xf numFmtId="0" fontId="0" fillId="17" borderId="45" xfId="0" applyFill="1" applyBorder="1" applyAlignment="1" applyProtection="1">
      <alignment horizontal="center" vertical="center"/>
      <protection locked="0"/>
    </xf>
    <xf numFmtId="0" fontId="0" fillId="17" borderId="42" xfId="0" applyFill="1" applyBorder="1" applyAlignment="1" applyProtection="1">
      <alignment horizontal="center" vertical="center"/>
      <protection locked="0"/>
    </xf>
    <xf numFmtId="164" fontId="0" fillId="12" borderId="45" xfId="0" applyNumberFormat="1" applyFill="1" applyBorder="1" applyAlignment="1" applyProtection="1">
      <alignment horizontal="center" vertical="center"/>
      <protection locked="0"/>
    </xf>
    <xf numFmtId="164" fontId="0" fillId="12" borderId="42" xfId="0" applyNumberFormat="1" applyFill="1" applyBorder="1" applyAlignment="1" applyProtection="1">
      <alignment horizontal="center" vertical="center"/>
      <protection locked="0"/>
    </xf>
    <xf numFmtId="164" fontId="0" fillId="12" borderId="46" xfId="0" applyNumberFormat="1" applyFill="1" applyBorder="1" applyAlignment="1" applyProtection="1">
      <alignment horizontal="center" vertical="center"/>
      <protection locked="0"/>
    </xf>
    <xf numFmtId="164" fontId="0" fillId="10" borderId="45" xfId="0" applyNumberFormat="1" applyFill="1" applyBorder="1" applyAlignment="1" applyProtection="1">
      <alignment horizontal="center" vertical="center"/>
      <protection locked="0"/>
    </xf>
    <xf numFmtId="164" fontId="0" fillId="10" borderId="42" xfId="0" applyNumberFormat="1" applyFill="1" applyBorder="1" applyAlignment="1" applyProtection="1">
      <alignment horizontal="center" vertical="center"/>
      <protection locked="0"/>
    </xf>
    <xf numFmtId="164" fontId="0" fillId="10" borderId="46" xfId="0" applyNumberFormat="1" applyFill="1" applyBorder="1" applyAlignment="1" applyProtection="1">
      <alignment horizontal="center" vertical="center"/>
      <protection locked="0"/>
    </xf>
    <xf numFmtId="164" fontId="0" fillId="14" borderId="11" xfId="0" applyNumberFormat="1" applyFill="1" applyBorder="1" applyAlignment="1" applyProtection="1">
      <alignment horizontal="center" vertical="center"/>
      <protection locked="0"/>
    </xf>
    <xf numFmtId="164" fontId="0" fillId="16" borderId="11" xfId="0" applyNumberFormat="1" applyFill="1" applyBorder="1" applyAlignment="1" applyProtection="1">
      <alignment horizontal="center" vertical="center"/>
      <protection locked="0"/>
    </xf>
    <xf numFmtId="0" fontId="0" fillId="17" borderId="47" xfId="0" applyFill="1" applyBorder="1" applyAlignment="1" applyProtection="1">
      <alignment horizontal="center" vertical="center"/>
      <protection locked="0"/>
    </xf>
    <xf numFmtId="0" fontId="0" fillId="17" borderId="40" xfId="0" applyFill="1" applyBorder="1" applyAlignment="1" applyProtection="1">
      <alignment horizontal="center" vertical="center"/>
      <protection locked="0"/>
    </xf>
    <xf numFmtId="164" fontId="0" fillId="12" borderId="47" xfId="0" applyNumberFormat="1" applyFill="1" applyBorder="1" applyAlignment="1" applyProtection="1">
      <alignment horizontal="center" vertical="center"/>
      <protection locked="0"/>
    </xf>
    <xf numFmtId="164" fontId="0" fillId="12" borderId="40" xfId="0" applyNumberFormat="1" applyFill="1" applyBorder="1" applyAlignment="1" applyProtection="1">
      <alignment horizontal="center" vertical="center"/>
      <protection locked="0"/>
    </xf>
    <xf numFmtId="164" fontId="0" fillId="12" borderId="48" xfId="0" applyNumberFormat="1" applyFill="1" applyBorder="1" applyAlignment="1" applyProtection="1">
      <alignment horizontal="center" vertical="center"/>
      <protection locked="0"/>
    </xf>
    <xf numFmtId="164" fontId="0" fillId="10" borderId="47" xfId="0" applyNumberFormat="1" applyFill="1" applyBorder="1" applyAlignment="1" applyProtection="1">
      <alignment horizontal="center" vertical="center"/>
      <protection locked="0"/>
    </xf>
    <xf numFmtId="164" fontId="0" fillId="10" borderId="40" xfId="0" applyNumberFormat="1" applyFill="1" applyBorder="1" applyAlignment="1" applyProtection="1">
      <alignment horizontal="center" vertical="center"/>
      <protection locked="0"/>
    </xf>
    <xf numFmtId="164" fontId="0" fillId="10" borderId="48" xfId="0" applyNumberFormat="1" applyFill="1" applyBorder="1" applyAlignment="1" applyProtection="1">
      <alignment horizontal="center" vertical="center"/>
      <protection locked="0"/>
    </xf>
    <xf numFmtId="164" fontId="0" fillId="14" borderId="8" xfId="0" applyNumberFormat="1" applyFill="1" applyBorder="1" applyAlignment="1" applyProtection="1">
      <alignment horizontal="center" vertical="center"/>
      <protection locked="0"/>
    </xf>
    <xf numFmtId="164" fontId="0" fillId="16" borderId="8" xfId="0" applyNumberFormat="1" applyFill="1" applyBorder="1" applyAlignment="1" applyProtection="1">
      <alignment horizontal="center" vertical="center"/>
      <protection locked="0"/>
    </xf>
    <xf numFmtId="0" fontId="0" fillId="17" borderId="49" xfId="0" applyFill="1" applyBorder="1" applyAlignment="1" applyProtection="1">
      <alignment horizontal="center" vertical="center"/>
      <protection locked="0"/>
    </xf>
    <xf numFmtId="0" fontId="0" fillId="17" borderId="43" xfId="0" applyFill="1" applyBorder="1" applyAlignment="1" applyProtection="1">
      <alignment horizontal="center" vertical="center"/>
      <protection locked="0"/>
    </xf>
    <xf numFmtId="164" fontId="0" fillId="12" borderId="49" xfId="0" applyNumberFormat="1" applyFill="1" applyBorder="1" applyAlignment="1" applyProtection="1">
      <alignment horizontal="center" vertical="center"/>
      <protection locked="0"/>
    </xf>
    <xf numFmtId="164" fontId="0" fillId="12" borderId="43" xfId="0" applyNumberFormat="1" applyFill="1" applyBorder="1" applyAlignment="1" applyProtection="1">
      <alignment horizontal="center" vertical="center"/>
      <protection locked="0"/>
    </xf>
    <xf numFmtId="164" fontId="0" fillId="12" borderId="50" xfId="0" applyNumberFormat="1" applyFill="1" applyBorder="1" applyAlignment="1" applyProtection="1">
      <alignment horizontal="center" vertical="center"/>
      <protection locked="0"/>
    </xf>
    <xf numFmtId="164" fontId="0" fillId="10" borderId="49" xfId="0" applyNumberFormat="1" applyFill="1" applyBorder="1" applyAlignment="1" applyProtection="1">
      <alignment horizontal="center" vertical="center"/>
      <protection locked="0"/>
    </xf>
    <xf numFmtId="164" fontId="0" fillId="10" borderId="43" xfId="0" applyNumberFormat="1" applyFill="1" applyBorder="1" applyAlignment="1" applyProtection="1">
      <alignment horizontal="center" vertical="center"/>
      <protection locked="0"/>
    </xf>
    <xf numFmtId="164" fontId="0" fillId="10" borderId="50" xfId="0" applyNumberFormat="1" applyFill="1" applyBorder="1" applyAlignment="1" applyProtection="1">
      <alignment horizontal="center" vertical="center"/>
      <protection locked="0"/>
    </xf>
    <xf numFmtId="164" fontId="0" fillId="14" borderId="9" xfId="0" applyNumberFormat="1" applyFill="1" applyBorder="1" applyAlignment="1" applyProtection="1">
      <alignment horizontal="center" vertical="center"/>
      <protection locked="0"/>
    </xf>
    <xf numFmtId="164" fontId="0" fillId="16" borderId="9" xfId="0" applyNumberFormat="1" applyFill="1" applyBorder="1" applyAlignment="1" applyProtection="1">
      <alignment horizontal="center" vertical="center"/>
      <protection locked="0"/>
    </xf>
    <xf numFmtId="0" fontId="0" fillId="17" borderId="56" xfId="0" applyFill="1" applyBorder="1" applyAlignment="1" applyProtection="1">
      <alignment horizontal="center" vertical="center"/>
      <protection locked="0"/>
    </xf>
    <xf numFmtId="0" fontId="0" fillId="17" borderId="57" xfId="0" applyFill="1" applyBorder="1" applyAlignment="1" applyProtection="1">
      <alignment horizontal="center" vertical="center"/>
      <protection locked="0"/>
    </xf>
    <xf numFmtId="164" fontId="0" fillId="12" borderId="56" xfId="0" applyNumberFormat="1" applyFill="1" applyBorder="1" applyAlignment="1" applyProtection="1">
      <alignment horizontal="center" vertical="center"/>
      <protection locked="0"/>
    </xf>
    <xf numFmtId="164" fontId="0" fillId="12" borderId="57" xfId="0" applyNumberFormat="1" applyFill="1" applyBorder="1" applyAlignment="1" applyProtection="1">
      <alignment horizontal="center" vertical="center"/>
      <protection locked="0"/>
    </xf>
    <xf numFmtId="164" fontId="0" fillId="12" borderId="58" xfId="0" applyNumberFormat="1" applyFill="1" applyBorder="1" applyAlignment="1" applyProtection="1">
      <alignment horizontal="center" vertical="center"/>
      <protection locked="0"/>
    </xf>
    <xf numFmtId="164" fontId="0" fillId="10" borderId="56" xfId="0" applyNumberFormat="1" applyFill="1" applyBorder="1" applyAlignment="1" applyProtection="1">
      <alignment horizontal="center" vertical="center"/>
      <protection locked="0"/>
    </xf>
    <xf numFmtId="164" fontId="0" fillId="10" borderId="57" xfId="0" applyNumberFormat="1" applyFill="1" applyBorder="1" applyAlignment="1" applyProtection="1">
      <alignment horizontal="center" vertical="center"/>
      <protection locked="0"/>
    </xf>
    <xf numFmtId="164" fontId="0" fillId="10" borderId="58" xfId="0" applyNumberFormat="1" applyFill="1" applyBorder="1" applyAlignment="1" applyProtection="1">
      <alignment horizontal="center" vertical="center"/>
      <protection locked="0"/>
    </xf>
    <xf numFmtId="164" fontId="0" fillId="14" borderId="36" xfId="0" applyNumberFormat="1" applyFill="1" applyBorder="1" applyAlignment="1" applyProtection="1">
      <alignment horizontal="center" vertical="center"/>
      <protection locked="0"/>
    </xf>
    <xf numFmtId="0" fontId="0" fillId="17" borderId="51" xfId="0" applyFill="1" applyBorder="1" applyAlignment="1" applyProtection="1">
      <alignment horizontal="center" vertical="center"/>
      <protection locked="0"/>
    </xf>
    <xf numFmtId="0" fontId="0" fillId="17" borderId="41" xfId="0" applyFill="1" applyBorder="1" applyAlignment="1" applyProtection="1">
      <alignment horizontal="center" vertical="center"/>
      <protection locked="0"/>
    </xf>
    <xf numFmtId="164" fontId="0" fillId="12" borderId="51" xfId="0" applyNumberFormat="1" applyFill="1" applyBorder="1" applyAlignment="1" applyProtection="1">
      <alignment horizontal="center" vertical="center"/>
      <protection locked="0"/>
    </xf>
    <xf numFmtId="164" fontId="0" fillId="12" borderId="41" xfId="0" applyNumberFormat="1" applyFill="1" applyBorder="1" applyAlignment="1" applyProtection="1">
      <alignment horizontal="center" vertical="center"/>
      <protection locked="0"/>
    </xf>
    <xf numFmtId="164" fontId="0" fillId="12" borderId="52" xfId="0" applyNumberFormat="1" applyFill="1" applyBorder="1" applyAlignment="1" applyProtection="1">
      <alignment horizontal="center" vertical="center"/>
      <protection locked="0"/>
    </xf>
    <xf numFmtId="164" fontId="0" fillId="10" borderId="51" xfId="0" applyNumberFormat="1" applyFill="1" applyBorder="1" applyAlignment="1" applyProtection="1">
      <alignment horizontal="center" vertical="center"/>
      <protection locked="0"/>
    </xf>
    <xf numFmtId="164" fontId="0" fillId="10" borderId="41" xfId="0" applyNumberFormat="1" applyFill="1" applyBorder="1" applyAlignment="1" applyProtection="1">
      <alignment horizontal="center" vertical="center"/>
      <protection locked="0"/>
    </xf>
    <xf numFmtId="164" fontId="0" fillId="10" borderId="52" xfId="0" applyNumberFormat="1" applyFill="1" applyBorder="1" applyAlignment="1" applyProtection="1">
      <alignment horizontal="center" vertical="center"/>
      <protection locked="0"/>
    </xf>
    <xf numFmtId="0" fontId="0" fillId="17" borderId="53" xfId="0" applyFill="1" applyBorder="1" applyAlignment="1" applyProtection="1">
      <alignment horizontal="center" vertical="center"/>
      <protection locked="0"/>
    </xf>
    <xf numFmtId="0" fontId="0" fillId="17" borderId="54" xfId="0" applyFill="1" applyBorder="1" applyAlignment="1" applyProtection="1">
      <alignment horizontal="center" vertical="center"/>
      <protection locked="0"/>
    </xf>
    <xf numFmtId="164" fontId="0" fillId="12" borderId="53" xfId="0" applyNumberFormat="1" applyFill="1" applyBorder="1" applyAlignment="1" applyProtection="1">
      <alignment horizontal="center" vertical="center"/>
      <protection locked="0"/>
    </xf>
    <xf numFmtId="164" fontId="0" fillId="12" borderId="54" xfId="0" applyNumberFormat="1" applyFill="1" applyBorder="1" applyAlignment="1" applyProtection="1">
      <alignment horizontal="center" vertical="center"/>
      <protection locked="0"/>
    </xf>
    <xf numFmtId="164" fontId="0" fillId="12" borderId="55" xfId="0" applyNumberFormat="1" applyFill="1" applyBorder="1" applyAlignment="1" applyProtection="1">
      <alignment horizontal="center" vertical="center"/>
      <protection locked="0"/>
    </xf>
    <xf numFmtId="164" fontId="0" fillId="10" borderId="53" xfId="0" applyNumberFormat="1" applyFill="1" applyBorder="1" applyAlignment="1" applyProtection="1">
      <alignment horizontal="center" vertical="center"/>
      <protection locked="0"/>
    </xf>
    <xf numFmtId="164" fontId="0" fillId="10" borderId="54" xfId="0" applyNumberFormat="1" applyFill="1" applyBorder="1" applyAlignment="1" applyProtection="1">
      <alignment horizontal="center" vertical="center"/>
      <protection locked="0"/>
    </xf>
    <xf numFmtId="164" fontId="0" fillId="10" borderId="55" xfId="0" applyNumberFormat="1" applyFill="1" applyBorder="1" applyAlignment="1" applyProtection="1">
      <alignment horizontal="center" vertical="center"/>
      <protection locked="0"/>
    </xf>
    <xf numFmtId="164" fontId="0" fillId="14" borderId="10" xfId="0" applyNumberFormat="1" applyFill="1" applyBorder="1" applyAlignment="1" applyProtection="1">
      <alignment horizontal="center" vertical="center"/>
      <protection locked="0"/>
    </xf>
    <xf numFmtId="164" fontId="0" fillId="16" borderId="10" xfId="0" applyNumberFormat="1" applyFill="1" applyBorder="1" applyAlignment="1" applyProtection="1">
      <alignment horizontal="center" vertical="center"/>
      <protection locked="0"/>
    </xf>
    <xf numFmtId="9" fontId="0" fillId="5" borderId="21" xfId="1" applyFont="1" applyFill="1" applyBorder="1" applyAlignment="1" applyProtection="1">
      <alignment horizontal="center" vertical="center"/>
    </xf>
    <xf numFmtId="0" fontId="0" fillId="19" borderId="42" xfId="0" applyFill="1" applyBorder="1" applyAlignment="1" applyProtection="1">
      <alignment horizontal="center" vertical="center"/>
      <protection locked="0"/>
    </xf>
    <xf numFmtId="0" fontId="0" fillId="19" borderId="46" xfId="0" applyFill="1" applyBorder="1" applyAlignment="1" applyProtection="1">
      <alignment horizontal="center" vertical="center"/>
      <protection locked="0"/>
    </xf>
    <xf numFmtId="0" fontId="0" fillId="19" borderId="40" xfId="0" applyFill="1" applyBorder="1" applyAlignment="1" applyProtection="1">
      <alignment horizontal="center" vertical="center"/>
      <protection locked="0"/>
    </xf>
    <xf numFmtId="0" fontId="0" fillId="19" borderId="48" xfId="0" applyFill="1" applyBorder="1" applyAlignment="1" applyProtection="1">
      <alignment horizontal="center" vertical="center"/>
      <protection locked="0"/>
    </xf>
    <xf numFmtId="0" fontId="0" fillId="19" borderId="43" xfId="0" applyFill="1" applyBorder="1" applyAlignment="1" applyProtection="1">
      <alignment horizontal="center" vertical="center"/>
      <protection locked="0"/>
    </xf>
    <xf numFmtId="0" fontId="0" fillId="19" borderId="50" xfId="0" applyFill="1" applyBorder="1" applyAlignment="1" applyProtection="1">
      <alignment horizontal="center" vertical="center"/>
      <protection locked="0"/>
    </xf>
    <xf numFmtId="0" fontId="0" fillId="19" borderId="57" xfId="0" applyFill="1" applyBorder="1" applyAlignment="1" applyProtection="1">
      <alignment horizontal="center" vertical="center"/>
      <protection locked="0"/>
    </xf>
    <xf numFmtId="0" fontId="0" fillId="19" borderId="58" xfId="0" applyFill="1" applyBorder="1" applyAlignment="1" applyProtection="1">
      <alignment horizontal="center" vertical="center"/>
      <protection locked="0"/>
    </xf>
    <xf numFmtId="0" fontId="0" fillId="19" borderId="41" xfId="0" applyFill="1" applyBorder="1" applyAlignment="1" applyProtection="1">
      <alignment horizontal="center" vertical="center"/>
      <protection locked="0"/>
    </xf>
    <xf numFmtId="0" fontId="0" fillId="19" borderId="52" xfId="0" applyFill="1" applyBorder="1" applyAlignment="1" applyProtection="1">
      <alignment horizontal="center" vertical="center"/>
      <protection locked="0"/>
    </xf>
    <xf numFmtId="0" fontId="0" fillId="19" borderId="54" xfId="0" applyFill="1" applyBorder="1" applyAlignment="1" applyProtection="1">
      <alignment horizontal="center" vertical="center"/>
      <protection locked="0"/>
    </xf>
    <xf numFmtId="0" fontId="0" fillId="19" borderId="55" xfId="0" applyFill="1" applyBorder="1" applyAlignment="1" applyProtection="1">
      <alignment horizontal="center" vertical="center"/>
      <protection locked="0"/>
    </xf>
    <xf numFmtId="0" fontId="0" fillId="17" borderId="69" xfId="0" applyFill="1" applyBorder="1" applyAlignment="1" applyProtection="1">
      <alignment horizontal="center" vertical="center"/>
      <protection locked="0"/>
    </xf>
    <xf numFmtId="0" fontId="0" fillId="17" borderId="70" xfId="0" applyFill="1" applyBorder="1" applyAlignment="1" applyProtection="1">
      <alignment horizontal="center" vertical="center"/>
      <protection locked="0"/>
    </xf>
    <xf numFmtId="0" fontId="0" fillId="17" borderId="71" xfId="0" applyFill="1" applyBorder="1" applyAlignment="1" applyProtection="1">
      <alignment horizontal="center" vertical="center"/>
      <protection locked="0"/>
    </xf>
    <xf numFmtId="0" fontId="0" fillId="17" borderId="72" xfId="0" applyFill="1" applyBorder="1" applyAlignment="1" applyProtection="1">
      <alignment horizontal="center" vertical="center"/>
      <protection locked="0"/>
    </xf>
    <xf numFmtId="0" fontId="0" fillId="17" borderId="73" xfId="0" applyFill="1" applyBorder="1" applyAlignment="1" applyProtection="1">
      <alignment horizontal="center" vertical="center"/>
      <protection locked="0"/>
    </xf>
    <xf numFmtId="0" fontId="0" fillId="17" borderId="74" xfId="0" applyFill="1" applyBorder="1" applyAlignment="1" applyProtection="1">
      <alignment horizontal="center" vertical="center"/>
      <protection locked="0"/>
    </xf>
    <xf numFmtId="0" fontId="0" fillId="19" borderId="45" xfId="0" applyFill="1" applyBorder="1" applyAlignment="1" applyProtection="1">
      <alignment horizontal="center" vertical="center"/>
      <protection locked="0"/>
    </xf>
    <xf numFmtId="0" fontId="0" fillId="19" borderId="47" xfId="0" applyFill="1" applyBorder="1" applyAlignment="1" applyProtection="1">
      <alignment horizontal="center" vertical="center"/>
      <protection locked="0"/>
    </xf>
    <xf numFmtId="0" fontId="0" fillId="19" borderId="49" xfId="0" applyFill="1" applyBorder="1" applyAlignment="1" applyProtection="1">
      <alignment horizontal="center" vertical="center"/>
      <protection locked="0"/>
    </xf>
    <xf numFmtId="0" fontId="0" fillId="19" borderId="56" xfId="0" applyFill="1" applyBorder="1" applyAlignment="1" applyProtection="1">
      <alignment horizontal="center" vertical="center"/>
      <protection locked="0"/>
    </xf>
    <xf numFmtId="0" fontId="0" fillId="19" borderId="51" xfId="0" applyFill="1" applyBorder="1" applyAlignment="1" applyProtection="1">
      <alignment horizontal="center" vertical="center"/>
      <protection locked="0"/>
    </xf>
    <xf numFmtId="0" fontId="0" fillId="19" borderId="53" xfId="0" applyFill="1" applyBorder="1" applyAlignment="1" applyProtection="1">
      <alignment horizontal="center" vertical="center"/>
      <protection locked="0"/>
    </xf>
    <xf numFmtId="0" fontId="0" fillId="0" borderId="44" xfId="0" applyBorder="1"/>
    <xf numFmtId="0" fontId="0" fillId="0" borderId="36" xfId="0" applyBorder="1"/>
    <xf numFmtId="0" fontId="0" fillId="0" borderId="28" xfId="0" applyBorder="1"/>
    <xf numFmtId="0" fontId="0" fillId="17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49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5" fontId="0" fillId="4" borderId="11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165" fontId="0" fillId="4" borderId="21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5" fontId="2" fillId="5" borderId="60" xfId="0" applyNumberFormat="1" applyFont="1" applyFill="1" applyBorder="1" applyAlignment="1">
      <alignment horizontal="center" vertical="center"/>
    </xf>
    <xf numFmtId="165" fontId="2" fillId="5" borderId="59" xfId="0" applyNumberFormat="1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>
      <alignment horizontal="center" vertical="center"/>
    </xf>
    <xf numFmtId="165" fontId="2" fillId="5" borderId="61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2" fillId="0" borderId="0" xfId="0" applyFont="1"/>
    <xf numFmtId="9" fontId="2" fillId="0" borderId="75" xfId="1" applyFont="1" applyBorder="1" applyAlignment="1" applyProtection="1">
      <alignment horizontal="center" vertical="center"/>
    </xf>
    <xf numFmtId="9" fontId="2" fillId="0" borderId="62" xfId="1" applyFont="1" applyBorder="1" applyAlignment="1" applyProtection="1">
      <alignment horizontal="center" vertical="center"/>
    </xf>
    <xf numFmtId="9" fontId="2" fillId="0" borderId="63" xfId="1" applyFont="1" applyBorder="1" applyAlignment="1" applyProtection="1">
      <alignment horizontal="center" vertical="center"/>
    </xf>
    <xf numFmtId="9" fontId="2" fillId="0" borderId="76" xfId="1" applyFont="1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4" fillId="0" borderId="29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2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30" xfId="0" applyFont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11" borderId="24" xfId="0" applyFill="1" applyBorder="1" applyAlignment="1" applyProtection="1">
      <alignment horizontal="center" vertical="center"/>
      <protection locked="0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11" borderId="25" xfId="0" applyFill="1" applyBorder="1" applyAlignment="1" applyProtection="1">
      <alignment horizontal="center" vertical="center"/>
      <protection locked="0"/>
    </xf>
    <xf numFmtId="0" fontId="0" fillId="11" borderId="19" xfId="0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4" fillId="0" borderId="37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0" fillId="9" borderId="24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14" fontId="5" fillId="7" borderId="24" xfId="0" applyNumberFormat="1" applyFont="1" applyFill="1" applyBorder="1" applyAlignment="1" applyProtection="1">
      <alignment horizontal="center" vertical="center" textRotation="90" wrapText="1"/>
      <protection locked="0"/>
    </xf>
    <xf numFmtId="0" fontId="5" fillId="7" borderId="18" xfId="0" applyFont="1" applyFill="1" applyBorder="1" applyAlignment="1" applyProtection="1">
      <alignment horizontal="center" vertical="center" textRotation="90" wrapText="1"/>
      <protection locked="0"/>
    </xf>
    <xf numFmtId="14" fontId="5" fillId="7" borderId="23" xfId="0" applyNumberFormat="1" applyFont="1" applyFill="1" applyBorder="1" applyAlignment="1" applyProtection="1">
      <alignment horizontal="center" vertical="center" textRotation="90" wrapText="1"/>
      <protection locked="0"/>
    </xf>
    <xf numFmtId="0" fontId="5" fillId="7" borderId="27" xfId="0" applyFont="1" applyFill="1" applyBorder="1" applyAlignment="1" applyProtection="1">
      <alignment horizontal="center" vertical="center" textRotation="90" wrapText="1"/>
      <protection locked="0"/>
    </xf>
    <xf numFmtId="0" fontId="0" fillId="11" borderId="23" xfId="0" applyFill="1" applyBorder="1" applyAlignment="1" applyProtection="1">
      <alignment horizontal="center" vertical="center"/>
      <protection locked="0"/>
    </xf>
    <xf numFmtId="0" fontId="0" fillId="11" borderId="27" xfId="0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textRotation="90" wrapText="1"/>
    </xf>
    <xf numFmtId="0" fontId="2" fillId="13" borderId="6" xfId="0" applyFont="1" applyFill="1" applyBorder="1" applyAlignment="1">
      <alignment horizontal="center" vertical="center" textRotation="90" wrapText="1"/>
    </xf>
    <xf numFmtId="0" fontId="2" fillId="13" borderId="7" xfId="0" applyFont="1" applyFill="1" applyBorder="1" applyAlignment="1">
      <alignment horizontal="center" vertical="center" textRotation="90" wrapText="1"/>
    </xf>
    <xf numFmtId="0" fontId="0" fillId="9" borderId="25" xfId="0" applyFill="1" applyBorder="1" applyAlignment="1" applyProtection="1">
      <alignment horizontal="center" vertical="center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14" fontId="5" fillId="7" borderId="67" xfId="0" applyNumberFormat="1" applyFont="1" applyFill="1" applyBorder="1" applyAlignment="1" applyProtection="1">
      <alignment horizontal="center" vertical="center" textRotation="90" wrapText="1"/>
      <protection locked="0"/>
    </xf>
    <xf numFmtId="0" fontId="5" fillId="7" borderId="68" xfId="0" applyFont="1" applyFill="1" applyBorder="1" applyAlignment="1" applyProtection="1">
      <alignment horizontal="center" vertical="center" textRotation="90" wrapText="1"/>
      <protection locked="0"/>
    </xf>
    <xf numFmtId="0" fontId="2" fillId="15" borderId="5" xfId="0" applyFont="1" applyFill="1" applyBorder="1" applyAlignment="1">
      <alignment horizontal="center" vertical="center" textRotation="90" wrapText="1"/>
    </xf>
    <xf numFmtId="0" fontId="2" fillId="15" borderId="6" xfId="0" applyFont="1" applyFill="1" applyBorder="1" applyAlignment="1">
      <alignment horizontal="center" vertical="center" textRotation="90" wrapText="1"/>
    </xf>
    <xf numFmtId="0" fontId="2" fillId="15" borderId="7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textRotation="90" wrapText="1"/>
    </xf>
    <xf numFmtId="0" fontId="2" fillId="8" borderId="6" xfId="0" applyFont="1" applyFill="1" applyBorder="1" applyAlignment="1">
      <alignment horizontal="center" vertical="center" textRotation="90" wrapText="1"/>
    </xf>
    <xf numFmtId="0" fontId="2" fillId="8" borderId="7" xfId="0" applyFont="1" applyFill="1" applyBorder="1" applyAlignment="1">
      <alignment horizontal="center" vertical="center" textRotation="90" wrapText="1"/>
    </xf>
    <xf numFmtId="0" fontId="2" fillId="9" borderId="5" xfId="0" applyFont="1" applyFill="1" applyBorder="1" applyAlignment="1">
      <alignment horizontal="center" vertical="center" textRotation="90" wrapText="1"/>
    </xf>
    <xf numFmtId="0" fontId="2" fillId="9" borderId="6" xfId="0" applyFont="1" applyFill="1" applyBorder="1" applyAlignment="1">
      <alignment horizontal="center" vertical="center" textRotation="90" wrapText="1"/>
    </xf>
    <xf numFmtId="0" fontId="2" fillId="9" borderId="7" xfId="0" applyFont="1" applyFill="1" applyBorder="1" applyAlignment="1">
      <alignment horizontal="center" vertical="center" textRotation="90" wrapText="1"/>
    </xf>
    <xf numFmtId="0" fontId="2" fillId="11" borderId="5" xfId="0" applyFont="1" applyFill="1" applyBorder="1" applyAlignment="1">
      <alignment horizontal="center" vertical="center" textRotation="90" wrapText="1"/>
    </xf>
    <xf numFmtId="0" fontId="2" fillId="11" borderId="6" xfId="0" applyFont="1" applyFill="1" applyBorder="1" applyAlignment="1">
      <alignment horizontal="center" vertical="center" textRotation="90" wrapText="1"/>
    </xf>
    <xf numFmtId="0" fontId="2" fillId="11" borderId="7" xfId="0" applyFont="1" applyFill="1" applyBorder="1" applyAlignment="1">
      <alignment horizontal="center" vertical="center" textRotation="90" wrapText="1"/>
    </xf>
    <xf numFmtId="0" fontId="0" fillId="9" borderId="23" xfId="0" applyFill="1" applyBorder="1" applyAlignment="1" applyProtection="1">
      <alignment horizontal="center" vertical="center"/>
      <protection locked="0"/>
    </xf>
    <xf numFmtId="0" fontId="0" fillId="9" borderId="27" xfId="0" applyFill="1" applyBorder="1" applyAlignment="1" applyProtection="1">
      <alignment horizontal="center" vertical="center"/>
      <protection locked="0"/>
    </xf>
    <xf numFmtId="14" fontId="9" fillId="19" borderId="2" xfId="0" applyNumberFormat="1" applyFont="1" applyFill="1" applyBorder="1" applyAlignment="1" applyProtection="1">
      <alignment horizontal="center" vertical="center" wrapText="1"/>
      <protection locked="0"/>
    </xf>
    <xf numFmtId="14" fontId="9" fillId="19" borderId="28" xfId="0" applyNumberFormat="1" applyFont="1" applyFill="1" applyBorder="1" applyAlignment="1" applyProtection="1">
      <alignment horizontal="center" vertical="center" wrapText="1"/>
      <protection locked="0"/>
    </xf>
    <xf numFmtId="14" fontId="9" fillId="19" borderId="3" xfId="0" applyNumberFormat="1" applyFont="1" applyFill="1" applyBorder="1" applyAlignment="1" applyProtection="1">
      <alignment horizontal="center" vertical="center" wrapText="1"/>
      <protection locked="0"/>
    </xf>
    <xf numFmtId="14" fontId="9" fillId="19" borderId="37" xfId="0" applyNumberFormat="1" applyFont="1" applyFill="1" applyBorder="1" applyAlignment="1" applyProtection="1">
      <alignment horizontal="center" vertical="center" wrapText="1"/>
      <protection locked="0"/>
    </xf>
    <xf numFmtId="14" fontId="9" fillId="19" borderId="22" xfId="0" applyNumberFormat="1" applyFont="1" applyFill="1" applyBorder="1" applyAlignment="1" applyProtection="1">
      <alignment horizontal="center" vertical="center" wrapText="1"/>
      <protection locked="0"/>
    </xf>
    <xf numFmtId="14" fontId="9" fillId="19" borderId="31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3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7" fillId="0" borderId="2" xfId="2" applyBorder="1" applyAlignment="1" applyProtection="1">
      <alignment horizontal="center"/>
    </xf>
    <xf numFmtId="0" fontId="7" fillId="0" borderId="28" xfId="2" applyBorder="1" applyAlignment="1" applyProtection="1">
      <alignment horizontal="center"/>
    </xf>
    <xf numFmtId="0" fontId="7" fillId="0" borderId="29" xfId="2" applyBorder="1" applyAlignment="1" applyProtection="1">
      <alignment horizontal="center"/>
    </xf>
    <xf numFmtId="0" fontId="7" fillId="0" borderId="0" xfId="2" applyBorder="1" applyAlignment="1" applyProtection="1">
      <alignment horizontal="center"/>
    </xf>
    <xf numFmtId="1" fontId="0" fillId="0" borderId="7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7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F99CC"/>
      <color rgb="FFFFEBF5"/>
      <color rgb="FFE3F6DA"/>
      <color rgb="FFDBF5F9"/>
      <color rgb="FFFFD5EA"/>
      <color rgb="FFFFCCFF"/>
      <color rgb="FFDDE0F7"/>
      <color rgb="FFF5FCF2"/>
      <color rgb="FFF2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arcial_1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microsoft.com/office/2007/relationships/hdphoto" Target="../media/hdphoto2.wdp"/><Relationship Id="rId5" Type="http://schemas.openxmlformats.org/officeDocument/2006/relationships/image" Target="../media/image7.png"/><Relationship Id="rId4" Type="http://schemas.openxmlformats.org/officeDocument/2006/relationships/hyperlink" Target="#Parcial_2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9.png"/><Relationship Id="rId4" Type="http://schemas.openxmlformats.org/officeDocument/2006/relationships/hyperlink" Target="#Parcial_3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11.png"/><Relationship Id="rId4" Type="http://schemas.openxmlformats.org/officeDocument/2006/relationships/hyperlink" Target="#Gener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170329</xdr:colOff>
      <xdr:row>0</xdr:row>
      <xdr:rowOff>80682</xdr:rowOff>
    </xdr:from>
    <xdr:to>
      <xdr:col>2</xdr:col>
      <xdr:colOff>1335544</xdr:colOff>
      <xdr:row>3</xdr:row>
      <xdr:rowOff>39756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19CF8-06E1-E488-C903-74E7F205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" y="80682"/>
          <a:ext cx="2286000" cy="496956"/>
        </a:xfrm>
        <a:prstGeom prst="rect">
          <a:avLst/>
        </a:prstGeom>
      </xdr:spPr>
    </xdr:pic>
    <xdr:clientData/>
  </xdr:twoCellAnchor>
  <xdr:twoCellAnchor editAs="oneCell">
    <xdr:from>
      <xdr:col>9</xdr:col>
      <xdr:colOff>322731</xdr:colOff>
      <xdr:row>0</xdr:row>
      <xdr:rowOff>89646</xdr:rowOff>
    </xdr:from>
    <xdr:to>
      <xdr:col>11</xdr:col>
      <xdr:colOff>644513</xdr:colOff>
      <xdr:row>3</xdr:row>
      <xdr:rowOff>79996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B95C28-2CBE-47CF-E2F2-95C239DCD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2684" y="89646"/>
          <a:ext cx="2008094" cy="530137"/>
        </a:xfrm>
        <a:prstGeom prst="rect">
          <a:avLst/>
        </a:prstGeom>
      </xdr:spPr>
    </xdr:pic>
    <xdr:clientData/>
  </xdr:twoCellAnchor>
  <xdr:twoCellAnchor editAs="oneCell">
    <xdr:from>
      <xdr:col>8</xdr:col>
      <xdr:colOff>545920</xdr:colOff>
      <xdr:row>3</xdr:row>
      <xdr:rowOff>151033</xdr:rowOff>
    </xdr:from>
    <xdr:to>
      <xdr:col>11</xdr:col>
      <xdr:colOff>726959</xdr:colOff>
      <xdr:row>7</xdr:row>
      <xdr:rowOff>148261</xdr:rowOff>
    </xdr:to>
    <xdr:pic>
      <xdr:nvPicPr>
        <xdr:cNvPr id="4" name="Imagen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17B3A-2C06-450C-5CB3-E82B41B6D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3375" b="10831"/>
        <a:stretch/>
      </xdr:blipFill>
      <xdr:spPr>
        <a:xfrm>
          <a:off x="8061332" y="688915"/>
          <a:ext cx="2640767" cy="742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106017</xdr:colOff>
      <xdr:row>0</xdr:row>
      <xdr:rowOff>26504</xdr:rowOff>
    </xdr:from>
    <xdr:to>
      <xdr:col>2</xdr:col>
      <xdr:colOff>387153</xdr:colOff>
      <xdr:row>1</xdr:row>
      <xdr:rowOff>157065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4B90E-271C-453A-9D96-B4CCDDAF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7" y="26504"/>
          <a:ext cx="1404731" cy="316091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1828803</xdr:colOff>
      <xdr:row>0</xdr:row>
      <xdr:rowOff>28843</xdr:rowOff>
    </xdr:from>
    <xdr:to>
      <xdr:col>3</xdr:col>
      <xdr:colOff>414</xdr:colOff>
      <xdr:row>1</xdr:row>
      <xdr:rowOff>157777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1944D2-FCFF-4EE8-8C29-F95E9C91C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855" y="28843"/>
          <a:ext cx="1152936" cy="314464"/>
        </a:xfrm>
        <a:prstGeom prst="rect">
          <a:avLst/>
        </a:prstGeom>
      </xdr:spPr>
    </xdr:pic>
    <xdr:clientData/>
  </xdr:twoCellAnchor>
  <xdr:twoCellAnchor editAs="oneCell">
    <xdr:from>
      <xdr:col>24</xdr:col>
      <xdr:colOff>202871</xdr:colOff>
      <xdr:row>1</xdr:row>
      <xdr:rowOff>3958</xdr:rowOff>
    </xdr:from>
    <xdr:to>
      <xdr:col>36</xdr:col>
      <xdr:colOff>262500</xdr:colOff>
      <xdr:row>4</xdr:row>
      <xdr:rowOff>5305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CA045B-C233-88CD-F5D2-7DD6235D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416" y="182088"/>
          <a:ext cx="3944587" cy="535736"/>
        </a:xfrm>
        <a:prstGeom prst="rect">
          <a:avLst/>
        </a:prstGeom>
      </xdr:spPr>
    </xdr:pic>
    <xdr:clientData/>
  </xdr:twoCellAnchor>
  <xdr:twoCellAnchor editAs="oneCell">
    <xdr:from>
      <xdr:col>54</xdr:col>
      <xdr:colOff>250371</xdr:colOff>
      <xdr:row>0</xdr:row>
      <xdr:rowOff>84179</xdr:rowOff>
    </xdr:from>
    <xdr:to>
      <xdr:col>60</xdr:col>
      <xdr:colOff>620486</xdr:colOff>
      <xdr:row>4</xdr:row>
      <xdr:rowOff>128702</xdr:rowOff>
    </xdr:to>
    <xdr:pic>
      <xdr:nvPicPr>
        <xdr:cNvPr id="6" name="Imagen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0153D7-68E6-2645-2F61-DFCC0D09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2885" y="84179"/>
          <a:ext cx="2569029" cy="7847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106017</xdr:colOff>
      <xdr:row>0</xdr:row>
      <xdr:rowOff>26504</xdr:rowOff>
    </xdr:from>
    <xdr:to>
      <xdr:col>2</xdr:col>
      <xdr:colOff>385248</xdr:colOff>
      <xdr:row>1</xdr:row>
      <xdr:rowOff>157065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1EF7D-08D8-416D-B847-D7D50F193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7" y="26504"/>
          <a:ext cx="1401276" cy="313441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1828803</xdr:colOff>
      <xdr:row>0</xdr:row>
      <xdr:rowOff>28843</xdr:rowOff>
    </xdr:from>
    <xdr:to>
      <xdr:col>3</xdr:col>
      <xdr:colOff>414</xdr:colOff>
      <xdr:row>1</xdr:row>
      <xdr:rowOff>155872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8C6EC-5EFC-46A0-B8B2-86520C256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3" y="28843"/>
          <a:ext cx="1152936" cy="311814"/>
        </a:xfrm>
        <a:prstGeom prst="rect">
          <a:avLst/>
        </a:prstGeom>
      </xdr:spPr>
    </xdr:pic>
    <xdr:clientData/>
  </xdr:twoCellAnchor>
  <xdr:twoCellAnchor editAs="oneCell">
    <xdr:from>
      <xdr:col>24</xdr:col>
      <xdr:colOff>202871</xdr:colOff>
      <xdr:row>1</xdr:row>
      <xdr:rowOff>41831</xdr:rowOff>
    </xdr:from>
    <xdr:to>
      <xdr:col>36</xdr:col>
      <xdr:colOff>262500</xdr:colOff>
      <xdr:row>3</xdr:row>
      <xdr:rowOff>152490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EE44E8-FBCA-4F5B-BD4B-CC4BE102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500" y="226888"/>
          <a:ext cx="3956714" cy="480773"/>
        </a:xfrm>
        <a:prstGeom prst="rect">
          <a:avLst/>
        </a:prstGeom>
      </xdr:spPr>
    </xdr:pic>
    <xdr:clientData/>
  </xdr:twoCellAnchor>
  <xdr:twoCellAnchor editAs="oneCell">
    <xdr:from>
      <xdr:col>54</xdr:col>
      <xdr:colOff>315685</xdr:colOff>
      <xdr:row>0</xdr:row>
      <xdr:rowOff>65314</xdr:rowOff>
    </xdr:from>
    <xdr:to>
      <xdr:col>60</xdr:col>
      <xdr:colOff>609600</xdr:colOff>
      <xdr:row>4</xdr:row>
      <xdr:rowOff>80462</xdr:rowOff>
    </xdr:to>
    <xdr:pic>
      <xdr:nvPicPr>
        <xdr:cNvPr id="6" name="Imagen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FBE09E-60FB-C677-0E94-40E557C37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8199" y="65314"/>
          <a:ext cx="2492829" cy="7610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106017</xdr:colOff>
      <xdr:row>0</xdr:row>
      <xdr:rowOff>26504</xdr:rowOff>
    </xdr:from>
    <xdr:to>
      <xdr:col>2</xdr:col>
      <xdr:colOff>387153</xdr:colOff>
      <xdr:row>1</xdr:row>
      <xdr:rowOff>157065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F71666-D3BE-418C-855A-69B6DBEFF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7" y="26504"/>
          <a:ext cx="1401276" cy="313441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1828803</xdr:colOff>
      <xdr:row>0</xdr:row>
      <xdr:rowOff>28843</xdr:rowOff>
    </xdr:from>
    <xdr:to>
      <xdr:col>3</xdr:col>
      <xdr:colOff>414</xdr:colOff>
      <xdr:row>1</xdr:row>
      <xdr:rowOff>157777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FA1CE-F704-470D-B7B0-ABA320E3F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943" y="28843"/>
          <a:ext cx="1152936" cy="311814"/>
        </a:xfrm>
        <a:prstGeom prst="rect">
          <a:avLst/>
        </a:prstGeom>
      </xdr:spPr>
    </xdr:pic>
    <xdr:clientData/>
  </xdr:twoCellAnchor>
  <xdr:twoCellAnchor editAs="oneCell">
    <xdr:from>
      <xdr:col>24</xdr:col>
      <xdr:colOff>202871</xdr:colOff>
      <xdr:row>1</xdr:row>
      <xdr:rowOff>26693</xdr:rowOff>
    </xdr:from>
    <xdr:to>
      <xdr:col>36</xdr:col>
      <xdr:colOff>262500</xdr:colOff>
      <xdr:row>3</xdr:row>
      <xdr:rowOff>167628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1B689D-C028-4353-98A8-A860D055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500" y="211750"/>
          <a:ext cx="3956714" cy="511049"/>
        </a:xfrm>
        <a:prstGeom prst="rect">
          <a:avLst/>
        </a:prstGeom>
      </xdr:spPr>
    </xdr:pic>
    <xdr:clientData/>
  </xdr:twoCellAnchor>
  <xdr:twoCellAnchor editAs="oneCell">
    <xdr:from>
      <xdr:col>54</xdr:col>
      <xdr:colOff>307107</xdr:colOff>
      <xdr:row>0</xdr:row>
      <xdr:rowOff>54428</xdr:rowOff>
    </xdr:from>
    <xdr:to>
      <xdr:col>60</xdr:col>
      <xdr:colOff>718457</xdr:colOff>
      <xdr:row>4</xdr:row>
      <xdr:rowOff>108856</xdr:rowOff>
    </xdr:to>
    <xdr:pic>
      <xdr:nvPicPr>
        <xdr:cNvPr id="6" name="Imagen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9C2A52-45F9-64FC-EC63-2D73EA300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9621" y="54428"/>
          <a:ext cx="2610264" cy="7946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947D-DAE4-490A-B24F-5CF60CD59424}">
  <dimension ref="A1:L64"/>
  <sheetViews>
    <sheetView showGridLines="0" tabSelected="1" topLeftCell="D1" zoomScale="120" zoomScaleNormal="120" workbookViewId="0">
      <selection activeCell="K11" sqref="K11"/>
    </sheetView>
  </sheetViews>
  <sheetFormatPr baseColWidth="10" defaultColWidth="11.625" defaultRowHeight="14.25"/>
  <cols>
    <col min="1" max="1" width="4.125" style="1" bestFit="1" customWidth="1"/>
    <col min="2" max="2" width="12.25" style="1" bestFit="1" customWidth="1"/>
    <col min="3" max="3" width="37.75" style="1" bestFit="1" customWidth="1"/>
    <col min="4" max="8" width="11.125" style="1" customWidth="1"/>
    <col min="9" max="9" width="11" style="1" customWidth="1"/>
    <col min="10" max="10" width="13.75" style="1" bestFit="1" customWidth="1"/>
    <col min="11" max="11" width="11.125" style="1" customWidth="1"/>
    <col min="12" max="12" width="13.25" style="1" bestFit="1" customWidth="1"/>
    <col min="13" max="16384" width="11.625" style="1"/>
  </cols>
  <sheetData>
    <row r="1" spans="1:12">
      <c r="A1" s="186" t="e" vm="1">
        <v>#VALUE!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</row>
    <row r="2" spans="1:12">
      <c r="A2" s="189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1"/>
    </row>
    <row r="3" spans="1:12">
      <c r="A3" s="189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1"/>
    </row>
    <row r="4" spans="1:12" ht="15" thickBot="1">
      <c r="A4" s="189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1"/>
    </row>
    <row r="5" spans="1:12" ht="15">
      <c r="A5" s="179" t="s">
        <v>13</v>
      </c>
      <c r="B5" s="180"/>
      <c r="C5" s="143" t="s">
        <v>32</v>
      </c>
      <c r="D5" s="192" t="s">
        <v>15</v>
      </c>
      <c r="E5" s="193"/>
      <c r="F5" s="193"/>
      <c r="G5" s="193"/>
      <c r="H5" s="194"/>
      <c r="I5" s="184"/>
      <c r="J5" s="184"/>
      <c r="K5" s="184"/>
      <c r="L5" s="185"/>
    </row>
    <row r="6" spans="1:12" ht="15">
      <c r="A6" s="179" t="s">
        <v>14</v>
      </c>
      <c r="B6" s="180"/>
      <c r="C6" s="144" t="s">
        <v>30</v>
      </c>
      <c r="D6" s="11" t="s">
        <v>6</v>
      </c>
      <c r="E6" s="12" t="s">
        <v>16</v>
      </c>
      <c r="F6" s="12" t="s">
        <v>17</v>
      </c>
      <c r="G6" s="12" t="s">
        <v>18</v>
      </c>
      <c r="H6" s="13" t="s">
        <v>19</v>
      </c>
      <c r="I6" s="184"/>
      <c r="J6" s="184"/>
      <c r="K6" s="184"/>
      <c r="L6" s="185"/>
    </row>
    <row r="7" spans="1:12" ht="15.75" thickBot="1">
      <c r="A7" s="179" t="s">
        <v>12</v>
      </c>
      <c r="B7" s="180"/>
      <c r="C7" s="144" t="s">
        <v>31</v>
      </c>
      <c r="D7" s="2">
        <v>0</v>
      </c>
      <c r="E7" s="3">
        <v>0.2</v>
      </c>
      <c r="F7" s="3">
        <v>0.2</v>
      </c>
      <c r="G7" s="3">
        <v>0.3</v>
      </c>
      <c r="H7" s="4">
        <v>0.3</v>
      </c>
      <c r="I7" s="184"/>
      <c r="J7" s="184"/>
      <c r="K7" s="184"/>
      <c r="L7" s="185"/>
    </row>
    <row r="8" spans="1:12" ht="15" thickBot="1">
      <c r="A8" s="5"/>
      <c r="B8" s="181"/>
      <c r="C8" s="181"/>
      <c r="D8" s="182"/>
      <c r="E8" s="182"/>
      <c r="F8" s="182"/>
      <c r="G8" s="181"/>
      <c r="H8" s="181"/>
      <c r="I8" s="181"/>
      <c r="J8" s="181"/>
      <c r="K8" s="181"/>
      <c r="L8" s="183"/>
    </row>
    <row r="9" spans="1:12" ht="15.75" thickBot="1">
      <c r="A9" s="14" t="s">
        <v>1</v>
      </c>
      <c r="B9" s="14" t="s">
        <v>0</v>
      </c>
      <c r="C9" s="15" t="s">
        <v>10</v>
      </c>
      <c r="D9" s="14" t="s">
        <v>2</v>
      </c>
      <c r="E9" s="14" t="s">
        <v>3</v>
      </c>
      <c r="F9" s="14" t="s">
        <v>4</v>
      </c>
      <c r="G9" s="16" t="s">
        <v>5</v>
      </c>
      <c r="H9" s="14" t="s">
        <v>6</v>
      </c>
      <c r="I9" s="14" t="s">
        <v>11</v>
      </c>
      <c r="J9" s="17" t="s">
        <v>7</v>
      </c>
      <c r="K9" s="17" t="s">
        <v>8</v>
      </c>
      <c r="L9" s="18" t="s">
        <v>9</v>
      </c>
    </row>
    <row r="10" spans="1:12" ht="15">
      <c r="A10" s="19">
        <v>1</v>
      </c>
      <c r="B10" s="19"/>
      <c r="C10" s="20"/>
      <c r="D10" s="147">
        <f>IF(Parcial_1!BI9="","",Parcial_1!BI9)</f>
        <v>0</v>
      </c>
      <c r="E10" s="147">
        <f>IF(Parcial_2!BI9="","",Parcial_2!BI9)</f>
        <v>0</v>
      </c>
      <c r="F10" s="147">
        <f>IF(Parcial_3!BI9="","",Parcial_3!BI9)</f>
        <v>0</v>
      </c>
      <c r="G10" s="152">
        <f>IFERROR(AVERAGE(D10:F10),"")</f>
        <v>0</v>
      </c>
      <c r="H10" s="21" t="str">
        <f>IF(ISERROR((COUNTIF(Parcial_1!D9:Y9,1)+COUNTIF(Parcial_2!D9:Y9,1)+COUNTIF(Parcial_3!D9:Y9,1))/
(COUNTIF(Parcial_1!D9:Y9,1)+COUNTIF(Parcial_2!D9:Y9,1)+COUNTIF(Parcial_3!D9:Y9,1)+
COUNTIF(Parcial_1!D9:Y9,0)+COUNTIF(Parcial_2!D9:Y9,0)+COUNTIF(Parcial_3!D9:Y9,0))),
"",
(COUNTIF(Parcial_1!D9:Y9,1)+COUNTIF(Parcial_2!D9:Y9,1)+COUNTIF(Parcial_3!D9:Y9,1))/
(COUNTIF(Parcial_1!D9:Y9,1)+COUNTIF(Parcial_2!D9:Y9,1)+COUNTIF(Parcial_3!D9:Y9,1)+
COUNTIF(Parcial_1!D9:Y9,0)+COUNTIF(Parcial_2!D9:Y9,0)+COUNTIF(Parcial_3!D9:Y9,0)))</f>
        <v/>
      </c>
      <c r="I10" s="22" t="str">
        <f>IF(C10="","",IF(OR(G10="",G10&lt;=8.499999999),"Ord A",ROUND(G10,0)))</f>
        <v/>
      </c>
      <c r="J10" s="6"/>
      <c r="K10" s="150" t="str">
        <f>IF(I10="Ord A", IFERROR(IF((AVERAGE(D10:F10)*0.5 + J10*0.5)&lt;6, "EXTRA", AVERAGE(D10:F10)*0.5 + J10*0.5), "EXTRA"), "")</f>
        <v/>
      </c>
      <c r="L10" s="7"/>
    </row>
    <row r="11" spans="1:12" ht="15">
      <c r="A11" s="23">
        <v>2</v>
      </c>
      <c r="B11" s="145"/>
      <c r="C11" s="24"/>
      <c r="D11" s="147">
        <f>IF(Parcial_1!BI10="","",Parcial_1!BI10)</f>
        <v>0</v>
      </c>
      <c r="E11" s="147">
        <f>IF(Parcial_2!BI10="","",Parcial_2!BI10)</f>
        <v>0</v>
      </c>
      <c r="F11" s="147">
        <f>IF(Parcial_3!BI10="","",Parcial_3!BI10)</f>
        <v>0</v>
      </c>
      <c r="G11" s="153">
        <f t="shared" ref="G11:G48" si="0">IFERROR(AVERAGE(D11:F11),"")</f>
        <v>0</v>
      </c>
      <c r="H11" s="21" t="str">
        <f>IF(ISERROR((COUNTIF(Parcial_1!D10:Y10,1)+COUNTIF(Parcial_2!D10:Y10,1)+COUNTIF(Parcial_3!D10:Y10,1))/
(COUNTIF(Parcial_1!D10:Y10,1)+COUNTIF(Parcial_2!D10:Y10,1)+COUNTIF(Parcial_3!D10:Y10,1)+
COUNTIF(Parcial_1!D10:Y10,0)+COUNTIF(Parcial_2!D10:Y10,0)+COUNTIF(Parcial_3!D10:Y10,0))),
"",
(COUNTIF(Parcial_1!D10:Y10,1)+COUNTIF(Parcial_2!D10:Y10,1)+COUNTIF(Parcial_3!D10:Y10,1))/
(COUNTIF(Parcial_1!D10:Y10,1)+COUNTIF(Parcial_2!D10:Y10,1)+COUNTIF(Parcial_3!D10:Y10,1)+
COUNTIF(Parcial_1!D10:Y10,0)+COUNTIF(Parcial_2!D10:Y10,0)+COUNTIF(Parcial_3!D10:Y10,0)))</f>
        <v/>
      </c>
      <c r="I11" s="25" t="str">
        <f t="shared" ref="I11:I54" si="1">IF(C11="","",IF(OR(G11="",G11&lt;=8.499999999),"Ord A",ROUND(G11,0)))</f>
        <v/>
      </c>
      <c r="J11" s="8"/>
      <c r="K11" s="150" t="str">
        <f t="shared" ref="K11:K54" si="2">IF(I11="Ord A", IFERROR(IF((AVERAGE(D11:F11)*0.5 + J11*0.5)&lt;6, "EXTRA", AVERAGE(D11:F11)*0.5 + J11*0.5), "EXTRA"), "")</f>
        <v/>
      </c>
      <c r="L11" s="7"/>
    </row>
    <row r="12" spans="1:12" ht="15">
      <c r="A12" s="23">
        <v>3</v>
      </c>
      <c r="B12" s="23"/>
      <c r="C12" s="24"/>
      <c r="D12" s="147">
        <f>IF(Parcial_1!BI11="","",Parcial_1!BI11)</f>
        <v>0</v>
      </c>
      <c r="E12" s="147">
        <f>IF(Parcial_2!BI11="","",Parcial_2!BI11)</f>
        <v>0</v>
      </c>
      <c r="F12" s="147">
        <f>IF(Parcial_3!BI11="","",Parcial_3!BI11)</f>
        <v>0</v>
      </c>
      <c r="G12" s="153">
        <f t="shared" si="0"/>
        <v>0</v>
      </c>
      <c r="H12" s="21" t="str">
        <f>IF(ISERROR((COUNTIF(Parcial_1!D11:Y11,1)+COUNTIF(Parcial_2!D11:Y11,1)+COUNTIF(Parcial_3!D11:Y11,1))/
(COUNTIF(Parcial_1!D11:Y11,1)+COUNTIF(Parcial_2!D11:Y11,1)+COUNTIF(Parcial_3!D11:Y11,1)+
COUNTIF(Parcial_1!D11:Y11,0)+COUNTIF(Parcial_2!D11:Y11,0)+COUNTIF(Parcial_3!D11:Y11,0))),
"",
(COUNTIF(Parcial_1!D11:Y11,1)+COUNTIF(Parcial_2!D11:Y11,1)+COUNTIF(Parcial_3!D11:Y11,1))/
(COUNTIF(Parcial_1!D11:Y11,1)+COUNTIF(Parcial_2!D11:Y11,1)+COUNTIF(Parcial_3!D11:Y11,1)+
COUNTIF(Parcial_1!D11:Y11,0)+COUNTIF(Parcial_2!D11:Y11,0)+COUNTIF(Parcial_3!D11:Y11,0)))</f>
        <v/>
      </c>
      <c r="I12" s="25" t="str">
        <f t="shared" si="1"/>
        <v/>
      </c>
      <c r="J12" s="8"/>
      <c r="K12" s="150" t="str">
        <f t="shared" si="2"/>
        <v/>
      </c>
      <c r="L12" s="7"/>
    </row>
    <row r="13" spans="1:12" ht="15">
      <c r="A13" s="23">
        <v>4</v>
      </c>
      <c r="B13" s="23"/>
      <c r="C13" s="24"/>
      <c r="D13" s="147">
        <f>IF(Parcial_1!BI12="","",Parcial_1!BI12)</f>
        <v>0</v>
      </c>
      <c r="E13" s="147">
        <f>IF(Parcial_2!BI12="","",Parcial_2!BI12)</f>
        <v>0</v>
      </c>
      <c r="F13" s="147">
        <f>IF(Parcial_3!BI12="","",Parcial_3!BI12)</f>
        <v>0</v>
      </c>
      <c r="G13" s="153">
        <f t="shared" si="0"/>
        <v>0</v>
      </c>
      <c r="H13" s="21" t="str">
        <f>IF(ISERROR((COUNTIF(Parcial_1!D12:Y12,1)+COUNTIF(Parcial_2!D12:Y12,1)+COUNTIF(Parcial_3!D12:Y12,1))/
(COUNTIF(Parcial_1!D12:Y12,1)+COUNTIF(Parcial_2!D12:Y12,1)+COUNTIF(Parcial_3!D12:Y12,1)+
COUNTIF(Parcial_1!D12:Y12,0)+COUNTIF(Parcial_2!D12:Y12,0)+COUNTIF(Parcial_3!D12:Y12,0))),
"",
(COUNTIF(Parcial_1!D12:Y12,1)+COUNTIF(Parcial_2!D12:Y12,1)+COUNTIF(Parcial_3!D12:Y12,1))/
(COUNTIF(Parcial_1!D12:Y12,1)+COUNTIF(Parcial_2!D12:Y12,1)+COUNTIF(Parcial_3!D12:Y12,1)+
COUNTIF(Parcial_1!D12:Y12,0)+COUNTIF(Parcial_2!D12:Y12,0)+COUNTIF(Parcial_3!D12:Y12,0)))</f>
        <v/>
      </c>
      <c r="I13" s="25" t="str">
        <f t="shared" si="1"/>
        <v/>
      </c>
      <c r="J13" s="8"/>
      <c r="K13" s="150" t="str">
        <f t="shared" si="2"/>
        <v/>
      </c>
      <c r="L13" s="7"/>
    </row>
    <row r="14" spans="1:12" ht="15.75" thickBot="1">
      <c r="A14" s="26">
        <v>5</v>
      </c>
      <c r="B14" s="26"/>
      <c r="C14" s="27"/>
      <c r="D14" s="148">
        <f>IF(Parcial_1!BI13="","",Parcial_1!BI13)</f>
        <v>0</v>
      </c>
      <c r="E14" s="148">
        <f>IF(Parcial_2!BI13="","",Parcial_2!BI13)</f>
        <v>0</v>
      </c>
      <c r="F14" s="148">
        <f>IF(Parcial_3!BI13="","",Parcial_3!BI13)</f>
        <v>0</v>
      </c>
      <c r="G14" s="154">
        <f t="shared" si="0"/>
        <v>0</v>
      </c>
      <c r="H14" s="34" t="str">
        <f>IF(ISERROR((COUNTIF(Parcial_1!D13:Y13,1)+COUNTIF(Parcial_2!D13:Y13,1)+COUNTIF(Parcial_3!D13:Y13,1))/
(COUNTIF(Parcial_1!D13:Y13,1)+COUNTIF(Parcial_2!D13:Y13,1)+COUNTIF(Parcial_3!D13:Y13,1)+
COUNTIF(Parcial_1!D13:Y13,0)+COUNTIF(Parcial_2!D13:Y13,0)+COUNTIF(Parcial_3!D13:Y13,0))),
"",
(COUNTIF(Parcial_1!D13:Y13,1)+COUNTIF(Parcial_2!D13:Y13,1)+COUNTIF(Parcial_3!D13:Y13,1))/
(COUNTIF(Parcial_1!D13:Y13,1)+COUNTIF(Parcial_2!D13:Y13,1)+COUNTIF(Parcial_3!D13:Y13,1)+
COUNTIF(Parcial_1!D13:Y13,0)+COUNTIF(Parcial_2!D13:Y13,0)+COUNTIF(Parcial_3!D13:Y13,0)))</f>
        <v/>
      </c>
      <c r="I14" s="28" t="str">
        <f t="shared" si="1"/>
        <v/>
      </c>
      <c r="J14" s="9"/>
      <c r="K14" s="151" t="str">
        <f t="shared" si="2"/>
        <v/>
      </c>
      <c r="L14" s="165"/>
    </row>
    <row r="15" spans="1:12" ht="15.75" thickTop="1">
      <c r="A15" s="19">
        <v>6</v>
      </c>
      <c r="B15" s="19"/>
      <c r="C15" s="20"/>
      <c r="D15" s="147">
        <f>IF(Parcial_1!BI14="","",Parcial_1!BI14)</f>
        <v>0</v>
      </c>
      <c r="E15" s="147">
        <f>IF(Parcial_2!BI14="","",Parcial_2!BI14)</f>
        <v>0</v>
      </c>
      <c r="F15" s="147">
        <f>IF(Parcial_3!BI14="","",Parcial_3!BI14)</f>
        <v>0</v>
      </c>
      <c r="G15" s="152">
        <f t="shared" si="0"/>
        <v>0</v>
      </c>
      <c r="H15" s="21" t="str">
        <f>IF(ISERROR((COUNTIF(Parcial_1!D14:Y14,1)+COUNTIF(Parcial_2!D14:Y14,1)+COUNTIF(Parcial_3!D14:Y14,1))/
(COUNTIF(Parcial_1!D14:Y14,1)+COUNTIF(Parcial_2!D14:Y14,1)+COUNTIF(Parcial_3!D14:Y14,1)+
COUNTIF(Parcial_1!D14:Y14,0)+COUNTIF(Parcial_2!D14:Y14,0)+COUNTIF(Parcial_3!D14:Y14,0))),
"",
(COUNTIF(Parcial_1!D14:Y14,1)+COUNTIF(Parcial_2!D14:Y14,1)+COUNTIF(Parcial_3!D14:Y14,1))/
(COUNTIF(Parcial_1!D14:Y14,1)+COUNTIF(Parcial_2!D14:Y14,1)+COUNTIF(Parcial_3!D14:Y14,1)+
COUNTIF(Parcial_1!D14:Y14,0)+COUNTIF(Parcial_2!D14:Y14,0)+COUNTIF(Parcial_3!D14:Y14,0)))</f>
        <v/>
      </c>
      <c r="I15" s="22" t="str">
        <f t="shared" si="1"/>
        <v/>
      </c>
      <c r="J15" s="6"/>
      <c r="K15" s="150" t="str">
        <f t="shared" si="2"/>
        <v/>
      </c>
      <c r="L15" s="7"/>
    </row>
    <row r="16" spans="1:12" ht="15">
      <c r="A16" s="23">
        <v>7</v>
      </c>
      <c r="B16" s="23"/>
      <c r="C16" s="24"/>
      <c r="D16" s="147">
        <f>IF(Parcial_1!BI15="","",Parcial_1!BI15)</f>
        <v>0</v>
      </c>
      <c r="E16" s="147">
        <f>IF(Parcial_2!BI15="","",Parcial_2!BI15)</f>
        <v>0</v>
      </c>
      <c r="F16" s="147">
        <f>IF(Parcial_3!BI15="","",Parcial_3!BI15)</f>
        <v>0</v>
      </c>
      <c r="G16" s="153">
        <f t="shared" si="0"/>
        <v>0</v>
      </c>
      <c r="H16" s="21" t="str">
        <f>IF(ISERROR((COUNTIF(Parcial_1!D15:Y15,1)+COUNTIF(Parcial_2!D15:Y15,1)+COUNTIF(Parcial_3!D15:Y15,1))/
(COUNTIF(Parcial_1!D15:Y15,1)+COUNTIF(Parcial_2!D15:Y15,1)+COUNTIF(Parcial_3!D15:Y15,1)+
COUNTIF(Parcial_1!D15:Y15,0)+COUNTIF(Parcial_2!D15:Y15,0)+COUNTIF(Parcial_3!D15:Y15,0))),
"",
(COUNTIF(Parcial_1!D15:Y15,1)+COUNTIF(Parcial_2!D15:Y15,1)+COUNTIF(Parcial_3!D15:Y15,1))/
(COUNTIF(Parcial_1!D15:Y15,1)+COUNTIF(Parcial_2!D15:Y15,1)+COUNTIF(Parcial_3!D15:Y15,1)+
COUNTIF(Parcial_1!D15:Y15,0)+COUNTIF(Parcial_2!D15:Y15,0)+COUNTIF(Parcial_3!D15:Y15,0)))</f>
        <v/>
      </c>
      <c r="I16" s="25" t="str">
        <f t="shared" si="1"/>
        <v/>
      </c>
      <c r="J16" s="8"/>
      <c r="K16" s="150" t="str">
        <f t="shared" si="2"/>
        <v/>
      </c>
      <c r="L16" s="7"/>
    </row>
    <row r="17" spans="1:12" ht="15">
      <c r="A17" s="23">
        <v>8</v>
      </c>
      <c r="B17" s="23"/>
      <c r="C17" s="24"/>
      <c r="D17" s="147">
        <f>IF(Parcial_1!BI16="","",Parcial_1!BI16)</f>
        <v>0</v>
      </c>
      <c r="E17" s="147">
        <f>IF(Parcial_2!BI16="","",Parcial_2!BI16)</f>
        <v>0</v>
      </c>
      <c r="F17" s="147">
        <f>IF(Parcial_3!BI16="","",Parcial_3!BI16)</f>
        <v>0</v>
      </c>
      <c r="G17" s="153">
        <f t="shared" si="0"/>
        <v>0</v>
      </c>
      <c r="H17" s="21" t="str">
        <f>IF(ISERROR((COUNTIF(Parcial_1!D16:Y16,1)+COUNTIF(Parcial_2!D16:Y16,1)+COUNTIF(Parcial_3!D16:Y16,1))/
(COUNTIF(Parcial_1!D16:Y16,1)+COUNTIF(Parcial_2!D16:Y16,1)+COUNTIF(Parcial_3!D16:Y16,1)+
COUNTIF(Parcial_1!D16:Y16,0)+COUNTIF(Parcial_2!D16:Y16,0)+COUNTIF(Parcial_3!D16:Y16,0))),
"",
(COUNTIF(Parcial_1!D16:Y16,1)+COUNTIF(Parcial_2!D16:Y16,1)+COUNTIF(Parcial_3!D16:Y16,1))/
(COUNTIF(Parcial_1!D16:Y16,1)+COUNTIF(Parcial_2!D16:Y16,1)+COUNTIF(Parcial_3!D16:Y16,1)+
COUNTIF(Parcial_1!D16:Y16,0)+COUNTIF(Parcial_2!D16:Y16,0)+COUNTIF(Parcial_3!D16:Y16,0)))</f>
        <v/>
      </c>
      <c r="I17" s="25" t="str">
        <f t="shared" si="1"/>
        <v/>
      </c>
      <c r="J17" s="8"/>
      <c r="K17" s="150" t="str">
        <f t="shared" si="2"/>
        <v/>
      </c>
      <c r="L17" s="7"/>
    </row>
    <row r="18" spans="1:12" ht="15">
      <c r="A18" s="23">
        <v>9</v>
      </c>
      <c r="B18" s="23"/>
      <c r="C18" s="24"/>
      <c r="D18" s="147">
        <f>IF(Parcial_1!BI17="","",Parcial_1!BI17)</f>
        <v>0</v>
      </c>
      <c r="E18" s="147">
        <f>IF(Parcial_2!BI17="","",Parcial_2!BI17)</f>
        <v>0</v>
      </c>
      <c r="F18" s="147">
        <f>IF(Parcial_3!BI17="","",Parcial_3!BI17)</f>
        <v>0</v>
      </c>
      <c r="G18" s="153">
        <f t="shared" si="0"/>
        <v>0</v>
      </c>
      <c r="H18" s="21" t="str">
        <f>IF(ISERROR((COUNTIF(Parcial_1!D17:Y17,1)+COUNTIF(Parcial_2!D17:Y17,1)+COUNTIF(Parcial_3!D17:Y17,1))/
(COUNTIF(Parcial_1!D17:Y17,1)+COUNTIF(Parcial_2!D17:Y17,1)+COUNTIF(Parcial_3!D17:Y17,1)+
COUNTIF(Parcial_1!D17:Y17,0)+COUNTIF(Parcial_2!D17:Y17,0)+COUNTIF(Parcial_3!D17:Y17,0))),
"",
(COUNTIF(Parcial_1!D17:Y17,1)+COUNTIF(Parcial_2!D17:Y17,1)+COUNTIF(Parcial_3!D17:Y17,1))/
(COUNTIF(Parcial_1!D17:Y17,1)+COUNTIF(Parcial_2!D17:Y17,1)+COUNTIF(Parcial_3!D17:Y17,1)+
COUNTIF(Parcial_1!D17:Y17,0)+COUNTIF(Parcial_2!D17:Y17,0)+COUNTIF(Parcial_3!D17:Y17,0)))</f>
        <v/>
      </c>
      <c r="I18" s="25" t="str">
        <f t="shared" si="1"/>
        <v/>
      </c>
      <c r="J18" s="8"/>
      <c r="K18" s="150" t="str">
        <f t="shared" si="2"/>
        <v/>
      </c>
      <c r="L18" s="7"/>
    </row>
    <row r="19" spans="1:12" ht="15.75" thickBot="1">
      <c r="A19" s="26">
        <v>10</v>
      </c>
      <c r="B19" s="26"/>
      <c r="C19" s="27"/>
      <c r="D19" s="148">
        <f>IF(Parcial_1!BI18="","",Parcial_1!BI18)</f>
        <v>0</v>
      </c>
      <c r="E19" s="148">
        <f>IF(Parcial_2!BI18="","",Parcial_2!BI18)</f>
        <v>0</v>
      </c>
      <c r="F19" s="148">
        <f>IF(Parcial_3!BI18="","",Parcial_3!BI18)</f>
        <v>0</v>
      </c>
      <c r="G19" s="154">
        <f t="shared" si="0"/>
        <v>0</v>
      </c>
      <c r="H19" s="34" t="str">
        <f>IF(ISERROR((COUNTIF(Parcial_1!D18:Y18,1)+COUNTIF(Parcial_2!D18:Y18,1)+COUNTIF(Parcial_3!D18:Y18,1))/
(COUNTIF(Parcial_1!D18:Y18,1)+COUNTIF(Parcial_2!D18:Y18,1)+COUNTIF(Parcial_3!D18:Y18,1)+
COUNTIF(Parcial_1!D18:Y18,0)+COUNTIF(Parcial_2!D18:Y18,0)+COUNTIF(Parcial_3!D18:Y18,0))),
"",
(COUNTIF(Parcial_1!D18:Y18,1)+COUNTIF(Parcial_2!D18:Y18,1)+COUNTIF(Parcial_3!D18:Y18,1))/
(COUNTIF(Parcial_1!D18:Y18,1)+COUNTIF(Parcial_2!D18:Y18,1)+COUNTIF(Parcial_3!D18:Y18,1)+
COUNTIF(Parcial_1!D18:Y18,0)+COUNTIF(Parcial_2!D18:Y18,0)+COUNTIF(Parcial_3!D18:Y18,0)))</f>
        <v/>
      </c>
      <c r="I19" s="28" t="str">
        <f t="shared" si="1"/>
        <v/>
      </c>
      <c r="J19" s="9"/>
      <c r="K19" s="151" t="str">
        <f t="shared" si="2"/>
        <v/>
      </c>
      <c r="L19" s="165"/>
    </row>
    <row r="20" spans="1:12" ht="15.75" thickTop="1">
      <c r="A20" s="19">
        <v>11</v>
      </c>
      <c r="B20" s="19"/>
      <c r="C20" s="20"/>
      <c r="D20" s="147">
        <f>IF(Parcial_1!BI19="","",Parcial_1!BI19)</f>
        <v>0</v>
      </c>
      <c r="E20" s="147">
        <f>IF(Parcial_2!BI19="","",Parcial_2!BI19)</f>
        <v>0</v>
      </c>
      <c r="F20" s="147">
        <f>IF(Parcial_3!BI19="","",Parcial_3!BI19)</f>
        <v>0</v>
      </c>
      <c r="G20" s="152">
        <f t="shared" si="0"/>
        <v>0</v>
      </c>
      <c r="H20" s="21" t="str">
        <f>IF(ISERROR((COUNTIF(Parcial_1!D19:Y19,1)+COUNTIF(Parcial_2!D19:Y19,1)+COUNTIF(Parcial_3!D19:Y19,1))/
(COUNTIF(Parcial_1!D19:Y19,1)+COUNTIF(Parcial_2!D19:Y19,1)+COUNTIF(Parcial_3!D19:Y19,1)+
COUNTIF(Parcial_1!D19:Y19,0)+COUNTIF(Parcial_2!D19:Y19,0)+COUNTIF(Parcial_3!D19:Y19,0))),
"",
(COUNTIF(Parcial_1!D19:Y19,1)+COUNTIF(Parcial_2!D19:Y19,1)+COUNTIF(Parcial_3!D19:Y19,1))/
(COUNTIF(Parcial_1!D19:Y19,1)+COUNTIF(Parcial_2!D19:Y19,1)+COUNTIF(Parcial_3!D19:Y19,1)+
COUNTIF(Parcial_1!D19:Y19,0)+COUNTIF(Parcial_2!D19:Y19,0)+COUNTIF(Parcial_3!D19:Y19,0)))</f>
        <v/>
      </c>
      <c r="I20" s="22" t="str">
        <f t="shared" si="1"/>
        <v/>
      </c>
      <c r="J20" s="6"/>
      <c r="K20" s="150" t="str">
        <f t="shared" si="2"/>
        <v/>
      </c>
      <c r="L20" s="7"/>
    </row>
    <row r="21" spans="1:12" ht="15">
      <c r="A21" s="23">
        <v>12</v>
      </c>
      <c r="B21" s="23"/>
      <c r="C21" s="24"/>
      <c r="D21" s="147">
        <f>IF(Parcial_1!BI20="","",Parcial_1!BI20)</f>
        <v>0</v>
      </c>
      <c r="E21" s="147">
        <f>IF(Parcial_2!BI20="","",Parcial_2!BI20)</f>
        <v>0</v>
      </c>
      <c r="F21" s="147">
        <f>IF(Parcial_3!BI20="","",Parcial_3!BI20)</f>
        <v>0</v>
      </c>
      <c r="G21" s="153">
        <f t="shared" si="0"/>
        <v>0</v>
      </c>
      <c r="H21" s="21" t="str">
        <f>IF(ISERROR((COUNTIF(Parcial_1!D20:Y20,1)+COUNTIF(Parcial_2!D20:Y20,1)+COUNTIF(Parcial_3!D20:Y20,1))/
(COUNTIF(Parcial_1!D20:Y20,1)+COUNTIF(Parcial_2!D20:Y20,1)+COUNTIF(Parcial_3!D20:Y20,1)+
COUNTIF(Parcial_1!D20:Y20,0)+COUNTIF(Parcial_2!D20:Y20,0)+COUNTIF(Parcial_3!D20:Y20,0))),
"",
(COUNTIF(Parcial_1!D20:Y20,1)+COUNTIF(Parcial_2!D20:Y20,1)+COUNTIF(Parcial_3!D20:Y20,1))/
(COUNTIF(Parcial_1!D20:Y20,1)+COUNTIF(Parcial_2!D20:Y20,1)+COUNTIF(Parcial_3!D20:Y20,1)+
COUNTIF(Parcial_1!D20:Y20,0)+COUNTIF(Parcial_2!D20:Y20,0)+COUNTIF(Parcial_3!D20:Y20,0)))</f>
        <v/>
      </c>
      <c r="I21" s="25" t="str">
        <f t="shared" si="1"/>
        <v/>
      </c>
      <c r="J21" s="8"/>
      <c r="K21" s="150" t="str">
        <f t="shared" si="2"/>
        <v/>
      </c>
      <c r="L21" s="7"/>
    </row>
    <row r="22" spans="1:12" ht="15">
      <c r="A22" s="23">
        <v>13</v>
      </c>
      <c r="B22" s="23"/>
      <c r="C22" s="24"/>
      <c r="D22" s="147">
        <f>IF(Parcial_1!BI21="","",Parcial_1!BI21)</f>
        <v>0</v>
      </c>
      <c r="E22" s="147">
        <f>IF(Parcial_2!BI21="","",Parcial_2!BI21)</f>
        <v>0</v>
      </c>
      <c r="F22" s="147">
        <f>IF(Parcial_3!BI21="","",Parcial_3!BI21)</f>
        <v>0</v>
      </c>
      <c r="G22" s="153">
        <f t="shared" si="0"/>
        <v>0</v>
      </c>
      <c r="H22" s="21" t="str">
        <f>IF(ISERROR((COUNTIF(Parcial_1!D21:Y21,1)+COUNTIF(Parcial_2!D21:Y21,1)+COUNTIF(Parcial_3!D21:Y21,1))/
(COUNTIF(Parcial_1!D21:Y21,1)+COUNTIF(Parcial_2!D21:Y21,1)+COUNTIF(Parcial_3!D21:Y21,1)+
COUNTIF(Parcial_1!D21:Y21,0)+COUNTIF(Parcial_2!D21:Y21,0)+COUNTIF(Parcial_3!D21:Y21,0))),
"",
(COUNTIF(Parcial_1!D21:Y21,1)+COUNTIF(Parcial_2!D21:Y21,1)+COUNTIF(Parcial_3!D21:Y21,1))/
(COUNTIF(Parcial_1!D21:Y21,1)+COUNTIF(Parcial_2!D21:Y21,1)+COUNTIF(Parcial_3!D21:Y21,1)+
COUNTIF(Parcial_1!D21:Y21,0)+COUNTIF(Parcial_2!D21:Y21,0)+COUNTIF(Parcial_3!D21:Y21,0)))</f>
        <v/>
      </c>
      <c r="I22" s="25" t="str">
        <f t="shared" si="1"/>
        <v/>
      </c>
      <c r="J22" s="8"/>
      <c r="K22" s="150" t="str">
        <f t="shared" si="2"/>
        <v/>
      </c>
      <c r="L22" s="7"/>
    </row>
    <row r="23" spans="1:12" ht="15">
      <c r="A23" s="23">
        <v>14</v>
      </c>
      <c r="B23" s="23"/>
      <c r="C23" s="24"/>
      <c r="D23" s="147">
        <f>IF(Parcial_1!BI22="","",Parcial_1!BI22)</f>
        <v>0</v>
      </c>
      <c r="E23" s="147">
        <f>IF(Parcial_2!BI22="","",Parcial_2!BI22)</f>
        <v>0</v>
      </c>
      <c r="F23" s="147">
        <f>IF(Parcial_3!BI22="","",Parcial_3!BI22)</f>
        <v>0</v>
      </c>
      <c r="G23" s="153">
        <f t="shared" si="0"/>
        <v>0</v>
      </c>
      <c r="H23" s="21" t="str">
        <f>IF(ISERROR((COUNTIF(Parcial_1!D22:Y22,1)+COUNTIF(Parcial_2!D22:Y22,1)+COUNTIF(Parcial_3!D22:Y22,1))/
(COUNTIF(Parcial_1!D22:Y22,1)+COUNTIF(Parcial_2!D22:Y22,1)+COUNTIF(Parcial_3!D22:Y22,1)+
COUNTIF(Parcial_1!D22:Y22,0)+COUNTIF(Parcial_2!D22:Y22,0)+COUNTIF(Parcial_3!D22:Y22,0))),
"",
(COUNTIF(Parcial_1!D22:Y22,1)+COUNTIF(Parcial_2!D22:Y22,1)+COUNTIF(Parcial_3!D22:Y22,1))/
(COUNTIF(Parcial_1!D22:Y22,1)+COUNTIF(Parcial_2!D22:Y22,1)+COUNTIF(Parcial_3!D22:Y22,1)+
COUNTIF(Parcial_1!D22:Y22,0)+COUNTIF(Parcial_2!D22:Y22,0)+COUNTIF(Parcial_3!D22:Y22,0)))</f>
        <v/>
      </c>
      <c r="I23" s="25" t="str">
        <f t="shared" si="1"/>
        <v/>
      </c>
      <c r="J23" s="8"/>
      <c r="K23" s="150" t="str">
        <f t="shared" si="2"/>
        <v/>
      </c>
      <c r="L23" s="7"/>
    </row>
    <row r="24" spans="1:12" ht="15.75" thickBot="1">
      <c r="A24" s="26">
        <v>15</v>
      </c>
      <c r="B24" s="26"/>
      <c r="C24" s="27"/>
      <c r="D24" s="148">
        <f>IF(Parcial_1!BI23="","",Parcial_1!BI23)</f>
        <v>0</v>
      </c>
      <c r="E24" s="148">
        <f>IF(Parcial_2!BI23="","",Parcial_2!BI23)</f>
        <v>0</v>
      </c>
      <c r="F24" s="148">
        <f>IF(Parcial_3!BI23="","",Parcial_3!BI23)</f>
        <v>0</v>
      </c>
      <c r="G24" s="154">
        <f t="shared" si="0"/>
        <v>0</v>
      </c>
      <c r="H24" s="34" t="str">
        <f>IF(ISERROR((COUNTIF(Parcial_1!D23:Y23,1)+COUNTIF(Parcial_2!D23:Y23,1)+COUNTIF(Parcial_3!D23:Y23,1))/
(COUNTIF(Parcial_1!D23:Y23,1)+COUNTIF(Parcial_2!D23:Y23,1)+COUNTIF(Parcial_3!D23:Y23,1)+
COUNTIF(Parcial_1!D23:Y23,0)+COUNTIF(Parcial_2!D23:Y23,0)+COUNTIF(Parcial_3!D23:Y23,0))),
"",
(COUNTIF(Parcial_1!D23:Y23,1)+COUNTIF(Parcial_2!D23:Y23,1)+COUNTIF(Parcial_3!D23:Y23,1))/
(COUNTIF(Parcial_1!D23:Y23,1)+COUNTIF(Parcial_2!D23:Y23,1)+COUNTIF(Parcial_3!D23:Y23,1)+
COUNTIF(Parcial_1!D23:Y23,0)+COUNTIF(Parcial_2!D23:Y23,0)+COUNTIF(Parcial_3!D23:Y23,0)))</f>
        <v/>
      </c>
      <c r="I24" s="28" t="str">
        <f t="shared" si="1"/>
        <v/>
      </c>
      <c r="J24" s="9"/>
      <c r="K24" s="151" t="str">
        <f t="shared" si="2"/>
        <v/>
      </c>
      <c r="L24" s="165"/>
    </row>
    <row r="25" spans="1:12" ht="15.75" thickTop="1">
      <c r="A25" s="19">
        <v>16</v>
      </c>
      <c r="B25" s="19"/>
      <c r="C25" s="20"/>
      <c r="D25" s="147">
        <f>IF(Parcial_1!BI24="","",Parcial_1!BI24)</f>
        <v>0</v>
      </c>
      <c r="E25" s="147">
        <f>IF(Parcial_2!BI24="","",Parcial_2!BI24)</f>
        <v>0</v>
      </c>
      <c r="F25" s="147">
        <f>IF(Parcial_3!BI24="","",Parcial_3!BI24)</f>
        <v>0</v>
      </c>
      <c r="G25" s="152">
        <f t="shared" si="0"/>
        <v>0</v>
      </c>
      <c r="H25" s="21" t="str">
        <f>IF(ISERROR((COUNTIF(Parcial_1!D24:Y24,1)+COUNTIF(Parcial_2!D24:Y24,1)+COUNTIF(Parcial_3!D24:Y24,1))/
(COUNTIF(Parcial_1!D24:Y24,1)+COUNTIF(Parcial_2!D24:Y24,1)+COUNTIF(Parcial_3!D24:Y24,1)+
COUNTIF(Parcial_1!D24:Y24,0)+COUNTIF(Parcial_2!D24:Y24,0)+COUNTIF(Parcial_3!D24:Y24,0))),
"",
(COUNTIF(Parcial_1!D24:Y24,1)+COUNTIF(Parcial_2!D24:Y24,1)+COUNTIF(Parcial_3!D24:Y24,1))/
(COUNTIF(Parcial_1!D24:Y24,1)+COUNTIF(Parcial_2!D24:Y24,1)+COUNTIF(Parcial_3!D24:Y24,1)+
COUNTIF(Parcial_1!D24:Y24,0)+COUNTIF(Parcial_2!D24:Y24,0)+COUNTIF(Parcial_3!D24:Y24,0)))</f>
        <v/>
      </c>
      <c r="I25" s="22" t="str">
        <f t="shared" si="1"/>
        <v/>
      </c>
      <c r="J25" s="6"/>
      <c r="K25" s="150" t="str">
        <f t="shared" si="2"/>
        <v/>
      </c>
      <c r="L25" s="7"/>
    </row>
    <row r="26" spans="1:12" ht="15">
      <c r="A26" s="23">
        <v>17</v>
      </c>
      <c r="B26" s="23"/>
      <c r="C26" s="24"/>
      <c r="D26" s="147">
        <f>IF(Parcial_1!BI25="","",Parcial_1!BI25)</f>
        <v>0</v>
      </c>
      <c r="E26" s="147">
        <f>IF(Parcial_2!BI25="","",Parcial_2!BI25)</f>
        <v>0</v>
      </c>
      <c r="F26" s="147">
        <f>IF(Parcial_3!BI25="","",Parcial_3!BI25)</f>
        <v>0</v>
      </c>
      <c r="G26" s="153">
        <f t="shared" si="0"/>
        <v>0</v>
      </c>
      <c r="H26" s="21" t="str">
        <f>IF(ISERROR((COUNTIF(Parcial_1!D25:Y25,1)+COUNTIF(Parcial_2!D25:Y25,1)+COUNTIF(Parcial_3!D25:Y25,1))/
(COUNTIF(Parcial_1!D25:Y25,1)+COUNTIF(Parcial_2!D25:Y25,1)+COUNTIF(Parcial_3!D25:Y25,1)+
COUNTIF(Parcial_1!D25:Y25,0)+COUNTIF(Parcial_2!D25:Y25,0)+COUNTIF(Parcial_3!D25:Y25,0))),
"",
(COUNTIF(Parcial_1!D25:Y25,1)+COUNTIF(Parcial_2!D25:Y25,1)+COUNTIF(Parcial_3!D25:Y25,1))/
(COUNTIF(Parcial_1!D25:Y25,1)+COUNTIF(Parcial_2!D25:Y25,1)+COUNTIF(Parcial_3!D25:Y25,1)+
COUNTIF(Parcial_1!D25:Y25,0)+COUNTIF(Parcial_2!D25:Y25,0)+COUNTIF(Parcial_3!D25:Y25,0)))</f>
        <v/>
      </c>
      <c r="I26" s="25" t="str">
        <f t="shared" si="1"/>
        <v/>
      </c>
      <c r="J26" s="8"/>
      <c r="K26" s="150" t="str">
        <f t="shared" si="2"/>
        <v/>
      </c>
      <c r="L26" s="7"/>
    </row>
    <row r="27" spans="1:12" ht="15">
      <c r="A27" s="23">
        <v>18</v>
      </c>
      <c r="B27" s="23"/>
      <c r="C27" s="24"/>
      <c r="D27" s="147">
        <f>IF(Parcial_1!BI26="","",Parcial_1!BI26)</f>
        <v>0</v>
      </c>
      <c r="E27" s="147">
        <f>IF(Parcial_2!BI26="","",Parcial_2!BI26)</f>
        <v>0</v>
      </c>
      <c r="F27" s="147">
        <f>IF(Parcial_3!BI26="","",Parcial_3!BI26)</f>
        <v>0</v>
      </c>
      <c r="G27" s="153">
        <f t="shared" si="0"/>
        <v>0</v>
      </c>
      <c r="H27" s="21" t="str">
        <f>IF(ISERROR((COUNTIF(Parcial_1!D26:Y26,1)+COUNTIF(Parcial_2!D26:Y26,1)+COUNTIF(Parcial_3!D26:Y26,1))/
(COUNTIF(Parcial_1!D26:Y26,1)+COUNTIF(Parcial_2!D26:Y26,1)+COUNTIF(Parcial_3!D26:Y26,1)+
COUNTIF(Parcial_1!D26:Y26,0)+COUNTIF(Parcial_2!D26:Y26,0)+COUNTIF(Parcial_3!D26:Y26,0))),
"",
(COUNTIF(Parcial_1!D26:Y26,1)+COUNTIF(Parcial_2!D26:Y26,1)+COUNTIF(Parcial_3!D26:Y26,1))/
(COUNTIF(Parcial_1!D26:Y26,1)+COUNTIF(Parcial_2!D26:Y26,1)+COUNTIF(Parcial_3!D26:Y26,1)+
COUNTIF(Parcial_1!D26:Y26,0)+COUNTIF(Parcial_2!D26:Y26,0)+COUNTIF(Parcial_3!D26:Y26,0)))</f>
        <v/>
      </c>
      <c r="I27" s="25" t="str">
        <f t="shared" si="1"/>
        <v/>
      </c>
      <c r="J27" s="8"/>
      <c r="K27" s="150" t="str">
        <f t="shared" si="2"/>
        <v/>
      </c>
      <c r="L27" s="7"/>
    </row>
    <row r="28" spans="1:12" ht="15">
      <c r="A28" s="23">
        <v>19</v>
      </c>
      <c r="B28" s="23"/>
      <c r="C28" s="24"/>
      <c r="D28" s="147">
        <f>IF(Parcial_1!BI27="","",Parcial_1!BI27)</f>
        <v>0</v>
      </c>
      <c r="E28" s="147">
        <f>IF(Parcial_2!BI27="","",Parcial_2!BI27)</f>
        <v>0</v>
      </c>
      <c r="F28" s="147">
        <f>IF(Parcial_3!BI27="","",Parcial_3!BI27)</f>
        <v>0</v>
      </c>
      <c r="G28" s="153">
        <f t="shared" si="0"/>
        <v>0</v>
      </c>
      <c r="H28" s="21" t="str">
        <f>IF(ISERROR((COUNTIF(Parcial_1!D27:Y27,1)+COUNTIF(Parcial_2!D27:Y27,1)+COUNTIF(Parcial_3!D27:Y27,1))/
(COUNTIF(Parcial_1!D27:Y27,1)+COUNTIF(Parcial_2!D27:Y27,1)+COUNTIF(Parcial_3!D27:Y27,1)+
COUNTIF(Parcial_1!D27:Y27,0)+COUNTIF(Parcial_2!D27:Y27,0)+COUNTIF(Parcial_3!D27:Y27,0))),
"",
(COUNTIF(Parcial_1!D27:Y27,1)+COUNTIF(Parcial_2!D27:Y27,1)+COUNTIF(Parcial_3!D27:Y27,1))/
(COUNTIF(Parcial_1!D27:Y27,1)+COUNTIF(Parcial_2!D27:Y27,1)+COUNTIF(Parcial_3!D27:Y27,1)+
COUNTIF(Parcial_1!D27:Y27,0)+COUNTIF(Parcial_2!D27:Y27,0)+COUNTIF(Parcial_3!D27:Y27,0)))</f>
        <v/>
      </c>
      <c r="I28" s="25" t="str">
        <f t="shared" si="1"/>
        <v/>
      </c>
      <c r="J28" s="8"/>
      <c r="K28" s="150" t="str">
        <f t="shared" si="2"/>
        <v/>
      </c>
      <c r="L28" s="7"/>
    </row>
    <row r="29" spans="1:12" ht="15.75" thickBot="1">
      <c r="A29" s="26">
        <v>20</v>
      </c>
      <c r="B29" s="26"/>
      <c r="C29" s="27"/>
      <c r="D29" s="148">
        <f>IF(Parcial_1!BI28="","",Parcial_1!BI28)</f>
        <v>0</v>
      </c>
      <c r="E29" s="148">
        <f>IF(Parcial_2!BI28="","",Parcial_2!BI28)</f>
        <v>0</v>
      </c>
      <c r="F29" s="148">
        <f>IF(Parcial_3!BI28="","",Parcial_3!BI28)</f>
        <v>0</v>
      </c>
      <c r="G29" s="154">
        <f t="shared" si="0"/>
        <v>0</v>
      </c>
      <c r="H29" s="34" t="str">
        <f>IF(ISERROR((COUNTIF(Parcial_1!D28:Y28,1)+COUNTIF(Parcial_2!D28:Y28,1)+COUNTIF(Parcial_3!D28:Y28,1))/
(COUNTIF(Parcial_1!D28:Y28,1)+COUNTIF(Parcial_2!D28:Y28,1)+COUNTIF(Parcial_3!D28:Y28,1)+
COUNTIF(Parcial_1!D28:Y28,0)+COUNTIF(Parcial_2!D28:Y28,0)+COUNTIF(Parcial_3!D28:Y28,0))),
"",
(COUNTIF(Parcial_1!D28:Y28,1)+COUNTIF(Parcial_2!D28:Y28,1)+COUNTIF(Parcial_3!D28:Y28,1))/
(COUNTIF(Parcial_1!D28:Y28,1)+COUNTIF(Parcial_2!D28:Y28,1)+COUNTIF(Parcial_3!D28:Y28,1)+
COUNTIF(Parcial_1!D28:Y28,0)+COUNTIF(Parcial_2!D28:Y28,0)+COUNTIF(Parcial_3!D28:Y28,0)))</f>
        <v/>
      </c>
      <c r="I29" s="28" t="str">
        <f t="shared" si="1"/>
        <v/>
      </c>
      <c r="J29" s="9"/>
      <c r="K29" s="151" t="str">
        <f t="shared" si="2"/>
        <v/>
      </c>
      <c r="L29" s="165"/>
    </row>
    <row r="30" spans="1:12" ht="15.75" thickTop="1">
      <c r="A30" s="19">
        <v>21</v>
      </c>
      <c r="B30" s="19"/>
      <c r="C30" s="20"/>
      <c r="D30" s="147">
        <f>IF(Parcial_1!BI29="","",Parcial_1!BI29)</f>
        <v>0</v>
      </c>
      <c r="E30" s="147">
        <f>IF(Parcial_2!BI29="","",Parcial_2!BI29)</f>
        <v>0</v>
      </c>
      <c r="F30" s="147">
        <f>IF(Parcial_3!BI29="","",Parcial_3!BI29)</f>
        <v>0</v>
      </c>
      <c r="G30" s="152">
        <f t="shared" si="0"/>
        <v>0</v>
      </c>
      <c r="H30" s="21" t="str">
        <f>IF(ISERROR((COUNTIF(Parcial_1!D29:Y29,1)+COUNTIF(Parcial_2!D29:Y29,1)+COUNTIF(Parcial_3!D29:Y29,1))/
(COUNTIF(Parcial_1!D29:Y29,1)+COUNTIF(Parcial_2!D29:Y29,1)+COUNTIF(Parcial_3!D29:Y29,1)+
COUNTIF(Parcial_1!D29:Y29,0)+COUNTIF(Parcial_2!D29:Y29,0)+COUNTIF(Parcial_3!D29:Y29,0))),
"",
(COUNTIF(Parcial_1!D29:Y29,1)+COUNTIF(Parcial_2!D29:Y29,1)+COUNTIF(Parcial_3!D29:Y29,1))/
(COUNTIF(Parcial_1!D29:Y29,1)+COUNTIF(Parcial_2!D29:Y29,1)+COUNTIF(Parcial_3!D29:Y29,1)+
COUNTIF(Parcial_1!D29:Y29,0)+COUNTIF(Parcial_2!D29:Y29,0)+COUNTIF(Parcial_3!D29:Y29,0)))</f>
        <v/>
      </c>
      <c r="I30" s="22" t="str">
        <f t="shared" si="1"/>
        <v/>
      </c>
      <c r="J30" s="6"/>
      <c r="K30" s="150" t="str">
        <f t="shared" si="2"/>
        <v/>
      </c>
      <c r="L30" s="7"/>
    </row>
    <row r="31" spans="1:12" ht="15">
      <c r="A31" s="23">
        <v>22</v>
      </c>
      <c r="B31" s="23"/>
      <c r="C31" s="24"/>
      <c r="D31" s="147">
        <f>IF(Parcial_1!BI30="","",Parcial_1!BI30)</f>
        <v>0</v>
      </c>
      <c r="E31" s="147">
        <f>IF(Parcial_2!BI30="","",Parcial_2!BI30)</f>
        <v>0</v>
      </c>
      <c r="F31" s="147">
        <f>IF(Parcial_3!BI30="","",Parcial_3!BI30)</f>
        <v>0</v>
      </c>
      <c r="G31" s="153">
        <f t="shared" si="0"/>
        <v>0</v>
      </c>
      <c r="H31" s="21" t="str">
        <f>IF(ISERROR((COUNTIF(Parcial_1!D30:Y30,1)+COUNTIF(Parcial_2!D30:Y30,1)+COUNTIF(Parcial_3!D30:Y30,1))/
(COUNTIF(Parcial_1!D30:Y30,1)+COUNTIF(Parcial_2!D30:Y30,1)+COUNTIF(Parcial_3!D30:Y30,1)+
COUNTIF(Parcial_1!D30:Y30,0)+COUNTIF(Parcial_2!D30:Y30,0)+COUNTIF(Parcial_3!D30:Y30,0))),
"",
(COUNTIF(Parcial_1!D30:Y30,1)+COUNTIF(Parcial_2!D30:Y30,1)+COUNTIF(Parcial_3!D30:Y30,1))/
(COUNTIF(Parcial_1!D30:Y30,1)+COUNTIF(Parcial_2!D30:Y30,1)+COUNTIF(Parcial_3!D30:Y30,1)+
COUNTIF(Parcial_1!D30:Y30,0)+COUNTIF(Parcial_2!D30:Y30,0)+COUNTIF(Parcial_3!D30:Y30,0)))</f>
        <v/>
      </c>
      <c r="I31" s="25" t="str">
        <f t="shared" si="1"/>
        <v/>
      </c>
      <c r="J31" s="8"/>
      <c r="K31" s="150" t="str">
        <f t="shared" si="2"/>
        <v/>
      </c>
      <c r="L31" s="7"/>
    </row>
    <row r="32" spans="1:12" ht="15">
      <c r="A32" s="23">
        <v>23</v>
      </c>
      <c r="B32" s="23"/>
      <c r="C32" s="24"/>
      <c r="D32" s="147">
        <f>IF(Parcial_1!BI31="","",Parcial_1!BI31)</f>
        <v>0</v>
      </c>
      <c r="E32" s="147">
        <f>IF(Parcial_2!BI31="","",Parcial_2!BI31)</f>
        <v>0</v>
      </c>
      <c r="F32" s="147">
        <f>IF(Parcial_3!BI31="","",Parcial_3!BI31)</f>
        <v>0</v>
      </c>
      <c r="G32" s="153">
        <f t="shared" si="0"/>
        <v>0</v>
      </c>
      <c r="H32" s="21" t="str">
        <f>IF(ISERROR((COUNTIF(Parcial_1!D31:Y31,1)+COUNTIF(Parcial_2!D31:Y31,1)+COUNTIF(Parcial_3!D31:Y31,1))/
(COUNTIF(Parcial_1!D31:Y31,1)+COUNTIF(Parcial_2!D31:Y31,1)+COUNTIF(Parcial_3!D31:Y31,1)+
COUNTIF(Parcial_1!D31:Y31,0)+COUNTIF(Parcial_2!D31:Y31,0)+COUNTIF(Parcial_3!D31:Y31,0))),
"",
(COUNTIF(Parcial_1!D31:Y31,1)+COUNTIF(Parcial_2!D31:Y31,1)+COUNTIF(Parcial_3!D31:Y31,1))/
(COUNTIF(Parcial_1!D31:Y31,1)+COUNTIF(Parcial_2!D31:Y31,1)+COUNTIF(Parcial_3!D31:Y31,1)+
COUNTIF(Parcial_1!D31:Y31,0)+COUNTIF(Parcial_2!D31:Y31,0)+COUNTIF(Parcial_3!D31:Y31,0)))</f>
        <v/>
      </c>
      <c r="I32" s="25" t="str">
        <f t="shared" si="1"/>
        <v/>
      </c>
      <c r="J32" s="8"/>
      <c r="K32" s="150" t="str">
        <f t="shared" si="2"/>
        <v/>
      </c>
      <c r="L32" s="7"/>
    </row>
    <row r="33" spans="1:12" ht="15">
      <c r="A33" s="23">
        <v>24</v>
      </c>
      <c r="B33" s="23"/>
      <c r="C33" s="24"/>
      <c r="D33" s="147">
        <f>IF(Parcial_1!BI32="","",Parcial_1!BI32)</f>
        <v>0</v>
      </c>
      <c r="E33" s="147">
        <f>IF(Parcial_2!BI32="","",Parcial_2!BI32)</f>
        <v>0</v>
      </c>
      <c r="F33" s="147">
        <f>IF(Parcial_3!BI32="","",Parcial_3!BI32)</f>
        <v>0</v>
      </c>
      <c r="G33" s="153">
        <f t="shared" si="0"/>
        <v>0</v>
      </c>
      <c r="H33" s="21" t="str">
        <f>IF(ISERROR((COUNTIF(Parcial_1!D32:Y32,1)+COUNTIF(Parcial_2!D32:Y32,1)+COUNTIF(Parcial_3!D32:Y32,1))/
(COUNTIF(Parcial_1!D32:Y32,1)+COUNTIF(Parcial_2!D32:Y32,1)+COUNTIF(Parcial_3!D32:Y32,1)+
COUNTIF(Parcial_1!D32:Y32,0)+COUNTIF(Parcial_2!D32:Y32,0)+COUNTIF(Parcial_3!D32:Y32,0))),
"",
(COUNTIF(Parcial_1!D32:Y32,1)+COUNTIF(Parcial_2!D32:Y32,1)+COUNTIF(Parcial_3!D32:Y32,1))/
(COUNTIF(Parcial_1!D32:Y32,1)+COUNTIF(Parcial_2!D32:Y32,1)+COUNTIF(Parcial_3!D32:Y32,1)+
COUNTIF(Parcial_1!D32:Y32,0)+COUNTIF(Parcial_2!D32:Y32,0)+COUNTIF(Parcial_3!D32:Y32,0)))</f>
        <v/>
      </c>
      <c r="I33" s="25" t="str">
        <f t="shared" si="1"/>
        <v/>
      </c>
      <c r="J33" s="8"/>
      <c r="K33" s="150" t="str">
        <f t="shared" si="2"/>
        <v/>
      </c>
      <c r="L33" s="7"/>
    </row>
    <row r="34" spans="1:12" ht="15.75" thickBot="1">
      <c r="A34" s="26">
        <v>25</v>
      </c>
      <c r="B34" s="26"/>
      <c r="C34" s="27"/>
      <c r="D34" s="148">
        <f>IF(Parcial_1!BI33="","",Parcial_1!BI33)</f>
        <v>0</v>
      </c>
      <c r="E34" s="148">
        <f>IF(Parcial_2!BI33="","",Parcial_2!BI33)</f>
        <v>0</v>
      </c>
      <c r="F34" s="148">
        <f>IF(Parcial_3!BI33="","",Parcial_3!BI33)</f>
        <v>0</v>
      </c>
      <c r="G34" s="154">
        <f t="shared" si="0"/>
        <v>0</v>
      </c>
      <c r="H34" s="34" t="str">
        <f>IF(ISERROR((COUNTIF(Parcial_1!D33:Y33,1)+COUNTIF(Parcial_2!D33:Y33,1)+COUNTIF(Parcial_3!D33:Y33,1))/
(COUNTIF(Parcial_1!D33:Y33,1)+COUNTIF(Parcial_2!D33:Y33,1)+COUNTIF(Parcial_3!D33:Y33,1)+
COUNTIF(Parcial_1!D33:Y33,0)+COUNTIF(Parcial_2!D33:Y33,0)+COUNTIF(Parcial_3!D33:Y33,0))),
"",
(COUNTIF(Parcial_1!D33:Y33,1)+COUNTIF(Parcial_2!D33:Y33,1)+COUNTIF(Parcial_3!D33:Y33,1))/
(COUNTIF(Parcial_1!D33:Y33,1)+COUNTIF(Parcial_2!D33:Y33,1)+COUNTIF(Parcial_3!D33:Y33,1)+
COUNTIF(Parcial_1!D33:Y33,0)+COUNTIF(Parcial_2!D33:Y33,0)+COUNTIF(Parcial_3!D33:Y33,0)))</f>
        <v/>
      </c>
      <c r="I34" s="28" t="str">
        <f t="shared" si="1"/>
        <v/>
      </c>
      <c r="J34" s="9"/>
      <c r="K34" s="151" t="str">
        <f t="shared" si="2"/>
        <v/>
      </c>
      <c r="L34" s="165"/>
    </row>
    <row r="35" spans="1:12" ht="15.75" thickTop="1">
      <c r="A35" s="19">
        <v>26</v>
      </c>
      <c r="B35" s="19"/>
      <c r="C35" s="20"/>
      <c r="D35" s="147">
        <f>IF(Parcial_1!BI34="","",Parcial_1!BI34)</f>
        <v>0</v>
      </c>
      <c r="E35" s="147">
        <f>IF(Parcial_2!BI34="","",Parcial_2!BI34)</f>
        <v>0</v>
      </c>
      <c r="F35" s="147">
        <f>IF(Parcial_3!BI34="","",Parcial_3!BI34)</f>
        <v>0</v>
      </c>
      <c r="G35" s="152">
        <f t="shared" si="0"/>
        <v>0</v>
      </c>
      <c r="H35" s="21" t="str">
        <f>IF(ISERROR((COUNTIF(Parcial_1!D34:Y34,1)+COUNTIF(Parcial_2!D34:Y34,1)+COUNTIF(Parcial_3!D34:Y34,1))/
(COUNTIF(Parcial_1!D34:Y34,1)+COUNTIF(Parcial_2!D34:Y34,1)+COUNTIF(Parcial_3!D34:Y34,1)+
COUNTIF(Parcial_1!D34:Y34,0)+COUNTIF(Parcial_2!D34:Y34,0)+COUNTIF(Parcial_3!D34:Y34,0))),
"",
(COUNTIF(Parcial_1!D34:Y34,1)+COUNTIF(Parcial_2!D34:Y34,1)+COUNTIF(Parcial_3!D34:Y34,1))/
(COUNTIF(Parcial_1!D34:Y34,1)+COUNTIF(Parcial_2!D34:Y34,1)+COUNTIF(Parcial_3!D34:Y34,1)+
COUNTIF(Parcial_1!D34:Y34,0)+COUNTIF(Parcial_2!D34:Y34,0)+COUNTIF(Parcial_3!D34:Y34,0)))</f>
        <v/>
      </c>
      <c r="I35" s="22" t="str">
        <f t="shared" si="1"/>
        <v/>
      </c>
      <c r="J35" s="6"/>
      <c r="K35" s="150" t="str">
        <f t="shared" si="2"/>
        <v/>
      </c>
      <c r="L35" s="7"/>
    </row>
    <row r="36" spans="1:12" ht="15">
      <c r="A36" s="23">
        <v>27</v>
      </c>
      <c r="B36" s="23"/>
      <c r="C36" s="24"/>
      <c r="D36" s="147">
        <f>IF(Parcial_1!BI35="","",Parcial_1!BI35)</f>
        <v>0</v>
      </c>
      <c r="E36" s="147">
        <f>IF(Parcial_2!BI35="","",Parcial_2!BI35)</f>
        <v>0</v>
      </c>
      <c r="F36" s="147">
        <f>IF(Parcial_3!BI35="","",Parcial_3!BI35)</f>
        <v>0</v>
      </c>
      <c r="G36" s="153">
        <f t="shared" si="0"/>
        <v>0</v>
      </c>
      <c r="H36" s="21" t="str">
        <f>IF(ISERROR((COUNTIF(Parcial_1!D35:Y35,1)+COUNTIF(Parcial_2!D35:Y35,1)+COUNTIF(Parcial_3!D35:Y35,1))/
(COUNTIF(Parcial_1!D35:Y35,1)+COUNTIF(Parcial_2!D35:Y35,1)+COUNTIF(Parcial_3!D35:Y35,1)+
COUNTIF(Parcial_1!D35:Y35,0)+COUNTIF(Parcial_2!D35:Y35,0)+COUNTIF(Parcial_3!D35:Y35,0))),
"",
(COUNTIF(Parcial_1!D35:Y35,1)+COUNTIF(Parcial_2!D35:Y35,1)+COUNTIF(Parcial_3!D35:Y35,1))/
(COUNTIF(Parcial_1!D35:Y35,1)+COUNTIF(Parcial_2!D35:Y35,1)+COUNTIF(Parcial_3!D35:Y35,1)+
COUNTIF(Parcial_1!D35:Y35,0)+COUNTIF(Parcial_2!D35:Y35,0)+COUNTIF(Parcial_3!D35:Y35,0)))</f>
        <v/>
      </c>
      <c r="I36" s="25" t="str">
        <f t="shared" si="1"/>
        <v/>
      </c>
      <c r="J36" s="8"/>
      <c r="K36" s="150" t="str">
        <f t="shared" si="2"/>
        <v/>
      </c>
      <c r="L36" s="7"/>
    </row>
    <row r="37" spans="1:12" ht="15">
      <c r="A37" s="23">
        <v>28</v>
      </c>
      <c r="B37" s="23"/>
      <c r="C37" s="24"/>
      <c r="D37" s="147">
        <f>IF(Parcial_1!BI36="","",Parcial_1!BI36)</f>
        <v>0</v>
      </c>
      <c r="E37" s="147">
        <f>IF(Parcial_2!BI36="","",Parcial_2!BI36)</f>
        <v>0</v>
      </c>
      <c r="F37" s="147">
        <f>IF(Parcial_3!BI36="","",Parcial_3!BI36)</f>
        <v>0</v>
      </c>
      <c r="G37" s="153">
        <f t="shared" si="0"/>
        <v>0</v>
      </c>
      <c r="H37" s="21" t="str">
        <f>IF(ISERROR((COUNTIF(Parcial_1!D36:Y36,1)+COUNTIF(Parcial_2!D36:Y36,1)+COUNTIF(Parcial_3!D36:Y36,1))/
(COUNTIF(Parcial_1!D36:Y36,1)+COUNTIF(Parcial_2!D36:Y36,1)+COUNTIF(Parcial_3!D36:Y36,1)+
COUNTIF(Parcial_1!D36:Y36,0)+COUNTIF(Parcial_2!D36:Y36,0)+COUNTIF(Parcial_3!D36:Y36,0))),
"",
(COUNTIF(Parcial_1!D36:Y36,1)+COUNTIF(Parcial_2!D36:Y36,1)+COUNTIF(Parcial_3!D36:Y36,1))/
(COUNTIF(Parcial_1!D36:Y36,1)+COUNTIF(Parcial_2!D36:Y36,1)+COUNTIF(Parcial_3!D36:Y36,1)+
COUNTIF(Parcial_1!D36:Y36,0)+COUNTIF(Parcial_2!D36:Y36,0)+COUNTIF(Parcial_3!D36:Y36,0)))</f>
        <v/>
      </c>
      <c r="I37" s="25" t="str">
        <f t="shared" si="1"/>
        <v/>
      </c>
      <c r="J37" s="8"/>
      <c r="K37" s="150" t="str">
        <f t="shared" si="2"/>
        <v/>
      </c>
      <c r="L37" s="7"/>
    </row>
    <row r="38" spans="1:12" ht="15">
      <c r="A38" s="23">
        <v>29</v>
      </c>
      <c r="B38" s="23"/>
      <c r="C38" s="24"/>
      <c r="D38" s="147">
        <f>IF(Parcial_1!BI37="","",Parcial_1!BI37)</f>
        <v>0</v>
      </c>
      <c r="E38" s="147">
        <f>IF(Parcial_2!BI37="","",Parcial_2!BI37)</f>
        <v>0</v>
      </c>
      <c r="F38" s="147">
        <f>IF(Parcial_3!BI37="","",Parcial_3!BI37)</f>
        <v>0</v>
      </c>
      <c r="G38" s="153">
        <f t="shared" si="0"/>
        <v>0</v>
      </c>
      <c r="H38" s="21" t="str">
        <f>IF(ISERROR((COUNTIF(Parcial_1!D37:Y37,1)+COUNTIF(Parcial_2!D37:Y37,1)+COUNTIF(Parcial_3!D37:Y37,1))/
(COUNTIF(Parcial_1!D37:Y37,1)+COUNTIF(Parcial_2!D37:Y37,1)+COUNTIF(Parcial_3!D37:Y37,1)+
COUNTIF(Parcial_1!D37:Y37,0)+COUNTIF(Parcial_2!D37:Y37,0)+COUNTIF(Parcial_3!D37:Y37,0))),
"",
(COUNTIF(Parcial_1!D37:Y37,1)+COUNTIF(Parcial_2!D37:Y37,1)+COUNTIF(Parcial_3!D37:Y37,1))/
(COUNTIF(Parcial_1!D37:Y37,1)+COUNTIF(Parcial_2!D37:Y37,1)+COUNTIF(Parcial_3!D37:Y37,1)+
COUNTIF(Parcial_1!D37:Y37,0)+COUNTIF(Parcial_2!D37:Y37,0)+COUNTIF(Parcial_3!D37:Y37,0)))</f>
        <v/>
      </c>
      <c r="I38" s="25" t="str">
        <f t="shared" si="1"/>
        <v/>
      </c>
      <c r="J38" s="8"/>
      <c r="K38" s="150" t="str">
        <f t="shared" si="2"/>
        <v/>
      </c>
      <c r="L38" s="7"/>
    </row>
    <row r="39" spans="1:12" ht="15.75" thickBot="1">
      <c r="A39" s="26">
        <v>30</v>
      </c>
      <c r="B39" s="26"/>
      <c r="C39" s="27"/>
      <c r="D39" s="148">
        <f>IF(Parcial_1!BI38="","",Parcial_1!BI38)</f>
        <v>0</v>
      </c>
      <c r="E39" s="148">
        <f>IF(Parcial_2!BI38="","",Parcial_2!BI38)</f>
        <v>0</v>
      </c>
      <c r="F39" s="148">
        <f>IF(Parcial_3!BI38="","",Parcial_3!BI38)</f>
        <v>0</v>
      </c>
      <c r="G39" s="154">
        <f t="shared" si="0"/>
        <v>0</v>
      </c>
      <c r="H39" s="34" t="str">
        <f>IF(ISERROR((COUNTIF(Parcial_1!D38:Y38,1)+COUNTIF(Parcial_2!D38:Y38,1)+COUNTIF(Parcial_3!D38:Y38,1))/
(COUNTIF(Parcial_1!D38:Y38,1)+COUNTIF(Parcial_2!D38:Y38,1)+COUNTIF(Parcial_3!D38:Y38,1)+
COUNTIF(Parcial_1!D38:Y38,0)+COUNTIF(Parcial_2!D38:Y38,0)+COUNTIF(Parcial_3!D38:Y38,0))),
"",
(COUNTIF(Parcial_1!D38:Y38,1)+COUNTIF(Parcial_2!D38:Y38,1)+COUNTIF(Parcial_3!D38:Y38,1))/
(COUNTIF(Parcial_1!D38:Y38,1)+COUNTIF(Parcial_2!D38:Y38,1)+COUNTIF(Parcial_3!D38:Y38,1)+
COUNTIF(Parcial_1!D38:Y38,0)+COUNTIF(Parcial_2!D38:Y38,0)+COUNTIF(Parcial_3!D38:Y38,0)))</f>
        <v/>
      </c>
      <c r="I39" s="28" t="str">
        <f t="shared" si="1"/>
        <v/>
      </c>
      <c r="J39" s="9"/>
      <c r="K39" s="151" t="str">
        <f t="shared" si="2"/>
        <v/>
      </c>
      <c r="L39" s="165"/>
    </row>
    <row r="40" spans="1:12" ht="15.75" thickTop="1">
      <c r="A40" s="19">
        <v>31</v>
      </c>
      <c r="B40" s="19"/>
      <c r="C40" s="20"/>
      <c r="D40" s="147">
        <f>IF(Parcial_1!BI39="","",Parcial_1!BI39)</f>
        <v>0</v>
      </c>
      <c r="E40" s="147">
        <f>IF(Parcial_2!BI39="","",Parcial_2!BI39)</f>
        <v>0</v>
      </c>
      <c r="F40" s="147">
        <f>IF(Parcial_3!BI39="","",Parcial_3!BI39)</f>
        <v>0</v>
      </c>
      <c r="G40" s="152">
        <f t="shared" si="0"/>
        <v>0</v>
      </c>
      <c r="H40" s="21" t="str">
        <f>IF(ISERROR((COUNTIF(Parcial_1!D39:Y39,1)+COUNTIF(Parcial_2!D39:Y39,1)+COUNTIF(Parcial_3!D39:Y39,1))/
(COUNTIF(Parcial_1!D39:Y39,1)+COUNTIF(Parcial_2!D39:Y39,1)+COUNTIF(Parcial_3!D39:Y39,1)+
COUNTIF(Parcial_1!D39:Y39,0)+COUNTIF(Parcial_2!D39:Y39,0)+COUNTIF(Parcial_3!D39:Y39,0))),
"",
(COUNTIF(Parcial_1!D39:Y39,1)+COUNTIF(Parcial_2!D39:Y39,1)+COUNTIF(Parcial_3!D39:Y39,1))/
(COUNTIF(Parcial_1!D39:Y39,1)+COUNTIF(Parcial_2!D39:Y39,1)+COUNTIF(Parcial_3!D39:Y39,1)+
COUNTIF(Parcial_1!D39:Y39,0)+COUNTIF(Parcial_2!D39:Y39,0)+COUNTIF(Parcial_3!D39:Y39,0)))</f>
        <v/>
      </c>
      <c r="I40" s="22" t="str">
        <f t="shared" si="1"/>
        <v/>
      </c>
      <c r="J40" s="6"/>
      <c r="K40" s="150" t="str">
        <f t="shared" si="2"/>
        <v/>
      </c>
      <c r="L40" s="7"/>
    </row>
    <row r="41" spans="1:12" ht="15">
      <c r="A41" s="23">
        <v>32</v>
      </c>
      <c r="B41" s="23"/>
      <c r="C41" s="24"/>
      <c r="D41" s="147">
        <f>IF(Parcial_1!BI40="","",Parcial_1!BI40)</f>
        <v>0</v>
      </c>
      <c r="E41" s="147">
        <f>IF(Parcial_2!BI40="","",Parcial_2!BI40)</f>
        <v>0</v>
      </c>
      <c r="F41" s="147">
        <f>IF(Parcial_3!BI40="","",Parcial_3!BI40)</f>
        <v>0</v>
      </c>
      <c r="G41" s="153">
        <f t="shared" si="0"/>
        <v>0</v>
      </c>
      <c r="H41" s="21" t="str">
        <f>IF(ISERROR((COUNTIF(Parcial_1!D40:Y40,1)+COUNTIF(Parcial_2!D40:Y40,1)+COUNTIF(Parcial_3!D40:Y40,1))/
(COUNTIF(Parcial_1!D40:Y40,1)+COUNTIF(Parcial_2!D40:Y40,1)+COUNTIF(Parcial_3!D40:Y40,1)+
COUNTIF(Parcial_1!D40:Y40,0)+COUNTIF(Parcial_2!D40:Y40,0)+COUNTIF(Parcial_3!D40:Y40,0))),
"",
(COUNTIF(Parcial_1!D40:Y40,1)+COUNTIF(Parcial_2!D40:Y40,1)+COUNTIF(Parcial_3!D40:Y40,1))/
(COUNTIF(Parcial_1!D40:Y40,1)+COUNTIF(Parcial_2!D40:Y40,1)+COUNTIF(Parcial_3!D40:Y40,1)+
COUNTIF(Parcial_1!D40:Y40,0)+COUNTIF(Parcial_2!D40:Y40,0)+COUNTIF(Parcial_3!D40:Y40,0)))</f>
        <v/>
      </c>
      <c r="I41" s="25" t="str">
        <f t="shared" si="1"/>
        <v/>
      </c>
      <c r="J41" s="8"/>
      <c r="K41" s="150" t="str">
        <f t="shared" si="2"/>
        <v/>
      </c>
      <c r="L41" s="7"/>
    </row>
    <row r="42" spans="1:12" ht="15">
      <c r="A42" s="23">
        <v>33</v>
      </c>
      <c r="B42" s="23"/>
      <c r="C42" s="24"/>
      <c r="D42" s="147">
        <f>IF(Parcial_1!BI41="","",Parcial_1!BI41)</f>
        <v>0</v>
      </c>
      <c r="E42" s="147">
        <f>IF(Parcial_2!BI41="","",Parcial_2!BI41)</f>
        <v>0</v>
      </c>
      <c r="F42" s="147">
        <f>IF(Parcial_3!BI41="","",Parcial_3!BI41)</f>
        <v>0</v>
      </c>
      <c r="G42" s="153">
        <f t="shared" si="0"/>
        <v>0</v>
      </c>
      <c r="H42" s="21" t="str">
        <f>IF(ISERROR((COUNTIF(Parcial_1!D41:Y41,1)+COUNTIF(Parcial_2!D41:Y41,1)+COUNTIF(Parcial_3!D41:Y41,1))/
(COUNTIF(Parcial_1!D41:Y41,1)+COUNTIF(Parcial_2!D41:Y41,1)+COUNTIF(Parcial_3!D41:Y41,1)+
COUNTIF(Parcial_1!D41:Y41,0)+COUNTIF(Parcial_2!D41:Y41,0)+COUNTIF(Parcial_3!D41:Y41,0))),
"",
(COUNTIF(Parcial_1!D41:Y41,1)+COUNTIF(Parcial_2!D41:Y41,1)+COUNTIF(Parcial_3!D41:Y41,1))/
(COUNTIF(Parcial_1!D41:Y41,1)+COUNTIF(Parcial_2!D41:Y41,1)+COUNTIF(Parcial_3!D41:Y41,1)+
COUNTIF(Parcial_1!D41:Y41,0)+COUNTIF(Parcial_2!D41:Y41,0)+COUNTIF(Parcial_3!D41:Y41,0)))</f>
        <v/>
      </c>
      <c r="I42" s="25" t="str">
        <f t="shared" si="1"/>
        <v/>
      </c>
      <c r="J42" s="8"/>
      <c r="K42" s="150" t="str">
        <f t="shared" si="2"/>
        <v/>
      </c>
      <c r="L42" s="7"/>
    </row>
    <row r="43" spans="1:12" ht="15">
      <c r="A43" s="23">
        <v>34</v>
      </c>
      <c r="B43" s="23"/>
      <c r="C43" s="24"/>
      <c r="D43" s="147">
        <f>IF(Parcial_1!BI42="","",Parcial_1!BI42)</f>
        <v>0</v>
      </c>
      <c r="E43" s="147">
        <f>IF(Parcial_2!BI42="","",Parcial_2!BI42)</f>
        <v>0</v>
      </c>
      <c r="F43" s="147">
        <f>IF(Parcial_3!BI42="","",Parcial_3!BI42)</f>
        <v>0</v>
      </c>
      <c r="G43" s="153">
        <f t="shared" si="0"/>
        <v>0</v>
      </c>
      <c r="H43" s="21" t="str">
        <f>IF(ISERROR((COUNTIF(Parcial_1!D42:Y42,1)+COUNTIF(Parcial_2!D42:Y42,1)+COUNTIF(Parcial_3!D42:Y42,1))/
(COUNTIF(Parcial_1!D42:Y42,1)+COUNTIF(Parcial_2!D42:Y42,1)+COUNTIF(Parcial_3!D42:Y42,1)+
COUNTIF(Parcial_1!D42:Y42,0)+COUNTIF(Parcial_2!D42:Y42,0)+COUNTIF(Parcial_3!D42:Y42,0))),
"",
(COUNTIF(Parcial_1!D42:Y42,1)+COUNTIF(Parcial_2!D42:Y42,1)+COUNTIF(Parcial_3!D42:Y42,1))/
(COUNTIF(Parcial_1!D42:Y42,1)+COUNTIF(Parcial_2!D42:Y42,1)+COUNTIF(Parcial_3!D42:Y42,1)+
COUNTIF(Parcial_1!D42:Y42,0)+COUNTIF(Parcial_2!D42:Y42,0)+COUNTIF(Parcial_3!D42:Y42,0)))</f>
        <v/>
      </c>
      <c r="I43" s="25" t="str">
        <f t="shared" si="1"/>
        <v/>
      </c>
      <c r="J43" s="8"/>
      <c r="K43" s="150" t="str">
        <f t="shared" si="2"/>
        <v/>
      </c>
      <c r="L43" s="7"/>
    </row>
    <row r="44" spans="1:12" ht="15.75" thickBot="1">
      <c r="A44" s="26">
        <v>35</v>
      </c>
      <c r="B44" s="26"/>
      <c r="C44" s="27"/>
      <c r="D44" s="148">
        <f>IF(Parcial_1!BI43="","",Parcial_1!BI43)</f>
        <v>0</v>
      </c>
      <c r="E44" s="148">
        <f>IF(Parcial_2!BI43="","",Parcial_2!BI43)</f>
        <v>0</v>
      </c>
      <c r="F44" s="148">
        <f>IF(Parcial_3!BI43="","",Parcial_3!BI43)</f>
        <v>0</v>
      </c>
      <c r="G44" s="154">
        <f t="shared" si="0"/>
        <v>0</v>
      </c>
      <c r="H44" s="34" t="str">
        <f>IF(ISERROR((COUNTIF(Parcial_1!D43:Y43,1)+COUNTIF(Parcial_2!D43:Y43,1)+COUNTIF(Parcial_3!D43:Y43,1))/
(COUNTIF(Parcial_1!D43:Y43,1)+COUNTIF(Parcial_2!D43:Y43,1)+COUNTIF(Parcial_3!D43:Y43,1)+
COUNTIF(Parcial_1!D43:Y43,0)+COUNTIF(Parcial_2!D43:Y43,0)+COUNTIF(Parcial_3!D43:Y43,0))),
"",
(COUNTIF(Parcial_1!D43:Y43,1)+COUNTIF(Parcial_2!D43:Y43,1)+COUNTIF(Parcial_3!D43:Y43,1))/
(COUNTIF(Parcial_1!D43:Y43,1)+COUNTIF(Parcial_2!D43:Y43,1)+COUNTIF(Parcial_3!D43:Y43,1)+
COUNTIF(Parcial_1!D43:Y43,0)+COUNTIF(Parcial_2!D43:Y43,0)+COUNTIF(Parcial_3!D43:Y43,0)))</f>
        <v/>
      </c>
      <c r="I44" s="28" t="str">
        <f t="shared" si="1"/>
        <v/>
      </c>
      <c r="J44" s="9"/>
      <c r="K44" s="151" t="str">
        <f t="shared" si="2"/>
        <v/>
      </c>
      <c r="L44" s="165"/>
    </row>
    <row r="45" spans="1:12" ht="15.75" thickTop="1">
      <c r="A45" s="19">
        <v>36</v>
      </c>
      <c r="B45" s="19"/>
      <c r="C45" s="20"/>
      <c r="D45" s="147">
        <f>IF(Parcial_1!BI44="","",Parcial_1!BI44)</f>
        <v>0</v>
      </c>
      <c r="E45" s="147">
        <f>IF(Parcial_2!BI44="","",Parcial_2!BI44)</f>
        <v>0</v>
      </c>
      <c r="F45" s="147">
        <f>IF(Parcial_3!BI44="","",Parcial_3!BI44)</f>
        <v>0</v>
      </c>
      <c r="G45" s="152">
        <f t="shared" si="0"/>
        <v>0</v>
      </c>
      <c r="H45" s="21" t="str">
        <f>IF(ISERROR((COUNTIF(Parcial_1!D44:Y44,1)+COUNTIF(Parcial_2!D44:Y44,1)+COUNTIF(Parcial_3!D44:Y44,1))/
(COUNTIF(Parcial_1!D44:Y44,1)+COUNTIF(Parcial_2!D44:Y44,1)+COUNTIF(Parcial_3!D44:Y44,1)+
COUNTIF(Parcial_1!D44:Y44,0)+COUNTIF(Parcial_2!D44:Y44,0)+COUNTIF(Parcial_3!D44:Y44,0))),
"",
(COUNTIF(Parcial_1!D44:Y44,1)+COUNTIF(Parcial_2!D44:Y44,1)+COUNTIF(Parcial_3!D44:Y44,1))/
(COUNTIF(Parcial_1!D44:Y44,1)+COUNTIF(Parcial_2!D44:Y44,1)+COUNTIF(Parcial_3!D44:Y44,1)+
COUNTIF(Parcial_1!D44:Y44,0)+COUNTIF(Parcial_2!D44:Y44,0)+COUNTIF(Parcial_3!D44:Y44,0)))</f>
        <v/>
      </c>
      <c r="I45" s="22" t="str">
        <f t="shared" si="1"/>
        <v/>
      </c>
      <c r="J45" s="6"/>
      <c r="K45" s="150" t="str">
        <f t="shared" si="2"/>
        <v/>
      </c>
      <c r="L45" s="7"/>
    </row>
    <row r="46" spans="1:12" ht="15">
      <c r="A46" s="23">
        <v>37</v>
      </c>
      <c r="B46" s="23"/>
      <c r="C46" s="24"/>
      <c r="D46" s="147">
        <f>IF(Parcial_1!BI45="","",Parcial_1!BI45)</f>
        <v>0</v>
      </c>
      <c r="E46" s="147">
        <f>IF(Parcial_2!BI45="","",Parcial_2!BI45)</f>
        <v>0</v>
      </c>
      <c r="F46" s="147">
        <f>IF(Parcial_3!BI45="","",Parcial_3!BI45)</f>
        <v>0</v>
      </c>
      <c r="G46" s="153">
        <f t="shared" si="0"/>
        <v>0</v>
      </c>
      <c r="H46" s="21" t="str">
        <f>IF(ISERROR((COUNTIF(Parcial_1!D45:Y45,1)+COUNTIF(Parcial_2!D45:Y45,1)+COUNTIF(Parcial_3!D45:Y45,1))/
(COUNTIF(Parcial_1!D45:Y45,1)+COUNTIF(Parcial_2!D45:Y45,1)+COUNTIF(Parcial_3!D45:Y45,1)+
COUNTIF(Parcial_1!D45:Y45,0)+COUNTIF(Parcial_2!D45:Y45,0)+COUNTIF(Parcial_3!D45:Y45,0))),
"",
(COUNTIF(Parcial_1!D45:Y45,1)+COUNTIF(Parcial_2!D45:Y45,1)+COUNTIF(Parcial_3!D45:Y45,1))/
(COUNTIF(Parcial_1!D45:Y45,1)+COUNTIF(Parcial_2!D45:Y45,1)+COUNTIF(Parcial_3!D45:Y45,1)+
COUNTIF(Parcial_1!D45:Y45,0)+COUNTIF(Parcial_2!D45:Y45,0)+COUNTIF(Parcial_3!D45:Y45,0)))</f>
        <v/>
      </c>
      <c r="I46" s="25" t="str">
        <f t="shared" si="1"/>
        <v/>
      </c>
      <c r="J46" s="8"/>
      <c r="K46" s="150" t="str">
        <f t="shared" si="2"/>
        <v/>
      </c>
      <c r="L46" s="7"/>
    </row>
    <row r="47" spans="1:12" ht="15">
      <c r="A47" s="23">
        <v>38</v>
      </c>
      <c r="B47" s="23"/>
      <c r="C47" s="24"/>
      <c r="D47" s="147">
        <f>IF(Parcial_1!BI46="","",Parcial_1!BI46)</f>
        <v>0</v>
      </c>
      <c r="E47" s="147">
        <f>IF(Parcial_2!BI46="","",Parcial_2!BI46)</f>
        <v>0</v>
      </c>
      <c r="F47" s="147">
        <f>IF(Parcial_3!BI46="","",Parcial_3!BI46)</f>
        <v>0</v>
      </c>
      <c r="G47" s="153">
        <f t="shared" si="0"/>
        <v>0</v>
      </c>
      <c r="H47" s="21" t="str">
        <f>IF(ISERROR((COUNTIF(Parcial_1!D46:Y46,1)+COUNTIF(Parcial_2!D46:Y46,1)+COUNTIF(Parcial_3!D46:Y46,1))/
(COUNTIF(Parcial_1!D46:Y46,1)+COUNTIF(Parcial_2!D46:Y46,1)+COUNTIF(Parcial_3!D46:Y46,1)+
COUNTIF(Parcial_1!D46:Y46,0)+COUNTIF(Parcial_2!D46:Y46,0)+COUNTIF(Parcial_3!D46:Y46,0))),
"",
(COUNTIF(Parcial_1!D46:Y46,1)+COUNTIF(Parcial_2!D46:Y46,1)+COUNTIF(Parcial_3!D46:Y46,1))/
(COUNTIF(Parcial_1!D46:Y46,1)+COUNTIF(Parcial_2!D46:Y46,1)+COUNTIF(Parcial_3!D46:Y46,1)+
COUNTIF(Parcial_1!D46:Y46,0)+COUNTIF(Parcial_2!D46:Y46,0)+COUNTIF(Parcial_3!D46:Y46,0)))</f>
        <v/>
      </c>
      <c r="I47" s="25" t="str">
        <f t="shared" si="1"/>
        <v/>
      </c>
      <c r="J47" s="8"/>
      <c r="K47" s="150" t="str">
        <f t="shared" si="2"/>
        <v/>
      </c>
      <c r="L47" s="7"/>
    </row>
    <row r="48" spans="1:12" ht="15">
      <c r="A48" s="29"/>
      <c r="B48" s="29"/>
      <c r="C48" s="30"/>
      <c r="D48" s="147">
        <f>IF(Parcial_1!BI47="","",Parcial_1!BI47)</f>
        <v>0</v>
      </c>
      <c r="E48" s="147">
        <f>IF(Parcial_2!BI47="","",Parcial_2!BI47)</f>
        <v>0</v>
      </c>
      <c r="F48" s="147">
        <f>IF(Parcial_3!BI47="","",Parcial_3!BI47)</f>
        <v>0</v>
      </c>
      <c r="G48" s="153">
        <f t="shared" si="0"/>
        <v>0</v>
      </c>
      <c r="H48" s="21" t="str">
        <f>IF(ISERROR((COUNTIF(Parcial_1!D47:Y47,1)+COUNTIF(Parcial_2!D47:Y47,1)+COUNTIF(Parcial_3!D47:Y47,1))/
(COUNTIF(Parcial_1!D47:Y47,1)+COUNTIF(Parcial_2!D47:Y47,1)+COUNTIF(Parcial_3!D47:Y47,1)+
COUNTIF(Parcial_1!D47:Y47,0)+COUNTIF(Parcial_2!D47:Y47,0)+COUNTIF(Parcial_3!D47:Y47,0))),
"",
(COUNTIF(Parcial_1!D47:Y47,1)+COUNTIF(Parcial_2!D47:Y47,1)+COUNTIF(Parcial_3!D47:Y47,1))/
(COUNTIF(Parcial_1!D47:Y47,1)+COUNTIF(Parcial_2!D47:Y47,1)+COUNTIF(Parcial_3!D47:Y47,1)+
COUNTIF(Parcial_1!D47:Y47,0)+COUNTIF(Parcial_2!D47:Y47,0)+COUNTIF(Parcial_3!D47:Y47,0)))</f>
        <v/>
      </c>
      <c r="I48" s="25" t="str">
        <f t="shared" si="1"/>
        <v/>
      </c>
      <c r="J48" s="8"/>
      <c r="K48" s="150" t="str">
        <f t="shared" si="2"/>
        <v/>
      </c>
      <c r="L48" s="7"/>
    </row>
    <row r="49" spans="1:12" ht="15.75" thickBot="1">
      <c r="A49" s="26"/>
      <c r="B49" s="26"/>
      <c r="C49" s="27"/>
      <c r="D49" s="148">
        <f>IF(Parcial_1!BI48="","",Parcial_1!BI48)</f>
        <v>0</v>
      </c>
      <c r="E49" s="148">
        <f>IF(Parcial_2!BI48="","",Parcial_2!BI48)</f>
        <v>0</v>
      </c>
      <c r="F49" s="148">
        <f>IF(Parcial_3!BI48="","",Parcial_3!BI48)</f>
        <v>0</v>
      </c>
      <c r="G49" s="154">
        <f t="shared" ref="G49:G54" si="3">IFERROR(AVERAGE(D49:F49),"")</f>
        <v>0</v>
      </c>
      <c r="H49" s="34" t="str">
        <f>IF(ISERROR((COUNTIF(Parcial_1!D48:Y48,1)+COUNTIF(Parcial_2!D48:Y48,1)+COUNTIF(Parcial_3!D48:Y48,1))/
(COUNTIF(Parcial_1!D48:Y48,1)+COUNTIF(Parcial_2!D48:Y48,1)+COUNTIF(Parcial_3!D48:Y48,1)+
COUNTIF(Parcial_1!D48:Y48,0)+COUNTIF(Parcial_2!D48:Y48,0)+COUNTIF(Parcial_3!D48:Y48,0))),
"",
(COUNTIF(Parcial_1!D48:Y48,1)+COUNTIF(Parcial_2!D48:Y48,1)+COUNTIF(Parcial_3!D48:Y48,1))/
(COUNTIF(Parcial_1!D48:Y48,1)+COUNTIF(Parcial_2!D48:Y48,1)+COUNTIF(Parcial_3!D48:Y48,1)+
COUNTIF(Parcial_1!D48:Y48,0)+COUNTIF(Parcial_2!D48:Y48,0)+COUNTIF(Parcial_3!D48:Y48,0)))</f>
        <v/>
      </c>
      <c r="I49" s="28" t="str">
        <f t="shared" si="1"/>
        <v/>
      </c>
      <c r="J49" s="9"/>
      <c r="K49" s="151" t="str">
        <f t="shared" si="2"/>
        <v/>
      </c>
      <c r="L49" s="165"/>
    </row>
    <row r="50" spans="1:12" ht="15.75" thickTop="1">
      <c r="A50" s="19"/>
      <c r="B50" s="19"/>
      <c r="C50" s="20"/>
      <c r="D50" s="147">
        <f>IF(Parcial_1!BI49="","",Parcial_1!BI49)</f>
        <v>0</v>
      </c>
      <c r="E50" s="147">
        <f>IF(Parcial_2!BI49="","",Parcial_2!BI49)</f>
        <v>0</v>
      </c>
      <c r="F50" s="147">
        <f>IF(Parcial_3!BI49="","",Parcial_3!BI49)</f>
        <v>0</v>
      </c>
      <c r="G50" s="152">
        <f t="shared" si="3"/>
        <v>0</v>
      </c>
      <c r="H50" s="21" t="str">
        <f>IF(ISERROR((COUNTIF(Parcial_1!D49:Y49,1)+COUNTIF(Parcial_2!D49:Y49,1)+COUNTIF(Parcial_3!D49:Y49,1))/
(COUNTIF(Parcial_1!D49:Y49,1)+COUNTIF(Parcial_2!D49:Y49,1)+COUNTIF(Parcial_3!D49:Y49,1)+
COUNTIF(Parcial_1!D49:Y49,0)+COUNTIF(Parcial_2!D49:Y49,0)+COUNTIF(Parcial_3!D49:Y49,0))),
"",
(COUNTIF(Parcial_1!D49:Y49,1)+COUNTIF(Parcial_2!D49:Y49,1)+COUNTIF(Parcial_3!D49:Y49,1))/
(COUNTIF(Parcial_1!D49:Y49,1)+COUNTIF(Parcial_2!D49:Y49,1)+COUNTIF(Parcial_3!D49:Y49,1)+
COUNTIF(Parcial_1!D49:Y49,0)+COUNTIF(Parcial_2!D49:Y49,0)+COUNTIF(Parcial_3!D49:Y49,0)))</f>
        <v/>
      </c>
      <c r="I50" s="22" t="str">
        <f t="shared" si="1"/>
        <v/>
      </c>
      <c r="J50" s="6"/>
      <c r="K50" s="150" t="str">
        <f t="shared" si="2"/>
        <v/>
      </c>
      <c r="L50" s="7"/>
    </row>
    <row r="51" spans="1:12" ht="15">
      <c r="A51" s="23"/>
      <c r="B51" s="23"/>
      <c r="C51" s="24"/>
      <c r="D51" s="147">
        <f>IF(Parcial_1!BI50="","",Parcial_1!BI50)</f>
        <v>0</v>
      </c>
      <c r="E51" s="147">
        <f>IF(Parcial_2!BI50="","",Parcial_2!BI50)</f>
        <v>0</v>
      </c>
      <c r="F51" s="147">
        <f>IF(Parcial_3!BI50="","",Parcial_3!BI50)</f>
        <v>0</v>
      </c>
      <c r="G51" s="153">
        <f t="shared" si="3"/>
        <v>0</v>
      </c>
      <c r="H51" s="21" t="str">
        <f>IF(ISERROR((COUNTIF(Parcial_1!D50:Y50,1)+COUNTIF(Parcial_2!D50:Y50,1)+COUNTIF(Parcial_3!D50:Y50,1))/
(COUNTIF(Parcial_1!D50:Y50,1)+COUNTIF(Parcial_2!D50:Y50,1)+COUNTIF(Parcial_3!D50:Y50,1)+
COUNTIF(Parcial_1!D50:Y50,0)+COUNTIF(Parcial_2!D50:Y50,0)+COUNTIF(Parcial_3!D50:Y50,0))),
"",
(COUNTIF(Parcial_1!D50:Y50,1)+COUNTIF(Parcial_2!D50:Y50,1)+COUNTIF(Parcial_3!D50:Y50,1))/
(COUNTIF(Parcial_1!D50:Y50,1)+COUNTIF(Parcial_2!D50:Y50,1)+COUNTIF(Parcial_3!D50:Y50,1)+
COUNTIF(Parcial_1!D50:Y50,0)+COUNTIF(Parcial_2!D50:Y50,0)+COUNTIF(Parcial_3!D50:Y50,0)))</f>
        <v/>
      </c>
      <c r="I51" s="25" t="str">
        <f t="shared" si="1"/>
        <v/>
      </c>
      <c r="J51" s="8"/>
      <c r="K51" s="150" t="str">
        <f t="shared" si="2"/>
        <v/>
      </c>
      <c r="L51" s="7"/>
    </row>
    <row r="52" spans="1:12" ht="15">
      <c r="A52" s="23"/>
      <c r="B52" s="23"/>
      <c r="C52" s="24"/>
      <c r="D52" s="147">
        <f>IF(Parcial_1!BI51="","",Parcial_1!BI51)</f>
        <v>0</v>
      </c>
      <c r="E52" s="147">
        <f>IF(Parcial_2!BI51="","",Parcial_2!BI51)</f>
        <v>0</v>
      </c>
      <c r="F52" s="147">
        <f>IF(Parcial_3!BI51="","",Parcial_3!BI51)</f>
        <v>0</v>
      </c>
      <c r="G52" s="153">
        <f t="shared" si="3"/>
        <v>0</v>
      </c>
      <c r="H52" s="21" t="str">
        <f>IF(ISERROR((COUNTIF(Parcial_1!D51:Y51,1)+COUNTIF(Parcial_2!D51:Y51,1)+COUNTIF(Parcial_3!D51:Y51,1))/
(COUNTIF(Parcial_1!D51:Y51,1)+COUNTIF(Parcial_2!D51:Y51,1)+COUNTIF(Parcial_3!D51:Y51,1)+
COUNTIF(Parcial_1!D51:Y51,0)+COUNTIF(Parcial_2!D51:Y51,0)+COUNTIF(Parcial_3!D51:Y51,0))),
"",
(COUNTIF(Parcial_1!D51:Y51,1)+COUNTIF(Parcial_2!D51:Y51,1)+COUNTIF(Parcial_3!D51:Y51,1))/
(COUNTIF(Parcial_1!D51:Y51,1)+COUNTIF(Parcial_2!D51:Y51,1)+COUNTIF(Parcial_3!D51:Y51,1)+
COUNTIF(Parcial_1!D51:Y51,0)+COUNTIF(Parcial_2!D51:Y51,0)+COUNTIF(Parcial_3!D51:Y51,0)))</f>
        <v/>
      </c>
      <c r="I52" s="25" t="str">
        <f t="shared" si="1"/>
        <v/>
      </c>
      <c r="J52" s="8"/>
      <c r="K52" s="150" t="str">
        <f t="shared" si="2"/>
        <v/>
      </c>
      <c r="L52" s="7"/>
    </row>
    <row r="53" spans="1:12" ht="15">
      <c r="A53" s="23"/>
      <c r="B53" s="23"/>
      <c r="C53" s="24"/>
      <c r="D53" s="147">
        <f>IF(Parcial_1!BI52="","",Parcial_1!BI52)</f>
        <v>0</v>
      </c>
      <c r="E53" s="147">
        <f>IF(Parcial_2!BI52="","",Parcial_2!BI52)</f>
        <v>0</v>
      </c>
      <c r="F53" s="147">
        <f>IF(Parcial_3!BI52="","",Parcial_3!BI52)</f>
        <v>0</v>
      </c>
      <c r="G53" s="153">
        <f t="shared" si="3"/>
        <v>0</v>
      </c>
      <c r="H53" s="21" t="str">
        <f>IF(ISERROR((COUNTIF(Parcial_1!D52:Y52,1)+COUNTIF(Parcial_2!D52:Y52,1)+COUNTIF(Parcial_3!D52:Y52,1))/
(COUNTIF(Parcial_1!D52:Y52,1)+COUNTIF(Parcial_2!D52:Y52,1)+COUNTIF(Parcial_3!D52:Y52,1)+
COUNTIF(Parcial_1!D52:Y52,0)+COUNTIF(Parcial_2!D52:Y52,0)+COUNTIF(Parcial_3!D52:Y52,0))),
"",
(COUNTIF(Parcial_1!D52:Y52,1)+COUNTIF(Parcial_2!D52:Y52,1)+COUNTIF(Parcial_3!D52:Y52,1))/
(COUNTIF(Parcial_1!D52:Y52,1)+COUNTIF(Parcial_2!D52:Y52,1)+COUNTIF(Parcial_3!D52:Y52,1)+
COUNTIF(Parcial_1!D52:Y52,0)+COUNTIF(Parcial_2!D52:Y52,0)+COUNTIF(Parcial_3!D52:Y52,0)))</f>
        <v/>
      </c>
      <c r="I53" s="25" t="str">
        <f t="shared" si="1"/>
        <v/>
      </c>
      <c r="J53" s="8"/>
      <c r="K53" s="265" t="str">
        <f t="shared" si="2"/>
        <v/>
      </c>
      <c r="L53" s="7"/>
    </row>
    <row r="54" spans="1:12" ht="15.75" thickBot="1">
      <c r="A54" s="31"/>
      <c r="B54" s="31"/>
      <c r="C54" s="32"/>
      <c r="D54" s="149">
        <f>IF(Parcial_1!BI53="","",Parcial_1!BI53)</f>
        <v>0</v>
      </c>
      <c r="E54" s="149">
        <f>IF(Parcial_2!BI53="","",Parcial_2!BI53)</f>
        <v>0</v>
      </c>
      <c r="F54" s="149">
        <f>IF(Parcial_3!BI53="","",Parcial_3!BI53)</f>
        <v>0</v>
      </c>
      <c r="G54" s="155">
        <f t="shared" si="3"/>
        <v>0</v>
      </c>
      <c r="H54" s="95" t="str">
        <f>IF(ISERROR((COUNTIF(Parcial_1!D53:Y53,1)+COUNTIF(Parcial_2!D53:Y53,1)+COUNTIF(Parcial_3!D53:Y53,1))/
(COUNTIF(Parcial_1!D53:Y53,1)+COUNTIF(Parcial_2!D53:Y53,1)+COUNTIF(Parcial_3!D53:Y53,1)+
COUNTIF(Parcial_1!D53:Y53,0)+COUNTIF(Parcial_2!D53:Y53,0)+COUNTIF(Parcial_3!D53:Y53,0))),
"",
(COUNTIF(Parcial_1!D53:Y53,1)+COUNTIF(Parcial_2!D53:Y53,1)+COUNTIF(Parcial_3!D53:Y53,1))/
(COUNTIF(Parcial_1!D53:Y53,1)+COUNTIF(Parcial_2!D53:Y53,1)+COUNTIF(Parcial_3!D53:Y53,1)+
COUNTIF(Parcial_1!D53:Y53,0)+COUNTIF(Parcial_2!D53:Y53,0)+COUNTIF(Parcial_3!D53:Y53,0)))</f>
        <v/>
      </c>
      <c r="I54" s="33" t="str">
        <f t="shared" si="1"/>
        <v/>
      </c>
      <c r="J54" s="10"/>
      <c r="K54" s="266" t="str">
        <f t="shared" si="2"/>
        <v/>
      </c>
      <c r="L54" s="166"/>
    </row>
    <row r="56" spans="1:12" ht="15" thickBot="1"/>
    <row r="57" spans="1:12" ht="14.45" customHeight="1">
      <c r="E57" s="173" t="s">
        <v>11</v>
      </c>
      <c r="F57" s="174"/>
      <c r="G57" s="174">
        <f>COUNTIF(I10:I54,"&gt;=8.5")</f>
        <v>0</v>
      </c>
      <c r="H57" s="177"/>
    </row>
    <row r="58" spans="1:12" ht="14.45" customHeight="1">
      <c r="E58" s="167"/>
      <c r="F58" s="168"/>
      <c r="G58" s="168"/>
      <c r="H58" s="171"/>
    </row>
    <row r="59" spans="1:12" ht="14.45" customHeight="1">
      <c r="E59" s="167" t="s">
        <v>26</v>
      </c>
      <c r="F59" s="168"/>
      <c r="G59" s="168">
        <f>COUNTIF(I10:I54,"Ord A")</f>
        <v>0</v>
      </c>
      <c r="H59" s="171"/>
    </row>
    <row r="60" spans="1:12" ht="14.45" customHeight="1">
      <c r="E60" s="167"/>
      <c r="F60" s="168"/>
      <c r="G60" s="168"/>
      <c r="H60" s="171"/>
    </row>
    <row r="61" spans="1:12" ht="14.45" customHeight="1">
      <c r="E61" s="167" t="s">
        <v>27</v>
      </c>
      <c r="F61" s="168"/>
      <c r="G61" s="168">
        <f>COUNTIF(K10:K54,"Extra")</f>
        <v>0</v>
      </c>
      <c r="H61" s="171"/>
    </row>
    <row r="62" spans="1:12" ht="15" customHeight="1">
      <c r="E62" s="175"/>
      <c r="F62" s="176"/>
      <c r="G62" s="176"/>
      <c r="H62" s="178"/>
    </row>
    <row r="63" spans="1:12">
      <c r="E63" s="167" t="s">
        <v>25</v>
      </c>
      <c r="F63" s="168"/>
      <c r="G63" s="168">
        <f>COUNTIF(L10:L54,"NA")</f>
        <v>0</v>
      </c>
      <c r="H63" s="171"/>
    </row>
    <row r="64" spans="1:12" ht="15" thickBot="1">
      <c r="E64" s="169"/>
      <c r="F64" s="170"/>
      <c r="G64" s="170"/>
      <c r="H64" s="172"/>
    </row>
  </sheetData>
  <mergeCells count="15">
    <mergeCell ref="A7:B7"/>
    <mergeCell ref="B8:L8"/>
    <mergeCell ref="I5:L7"/>
    <mergeCell ref="A1:L4"/>
    <mergeCell ref="D5:H5"/>
    <mergeCell ref="A5:B5"/>
    <mergeCell ref="A6:B6"/>
    <mergeCell ref="E63:F64"/>
    <mergeCell ref="G63:H64"/>
    <mergeCell ref="E57:F58"/>
    <mergeCell ref="E59:F60"/>
    <mergeCell ref="E61:F62"/>
    <mergeCell ref="G57:H58"/>
    <mergeCell ref="G59:H60"/>
    <mergeCell ref="G61:H62"/>
  </mergeCells>
  <conditionalFormatting sqref="G10:G54">
    <cfRule type="containsBlanks" priority="13" stopIfTrue="1">
      <formula>LEN(TRIM(G10))=0</formula>
    </cfRule>
    <cfRule type="cellIs" dxfId="6" priority="14" operator="lessThan">
      <formula>7</formula>
    </cfRule>
  </conditionalFormatting>
  <conditionalFormatting sqref="I10:I54">
    <cfRule type="containsText" dxfId="5" priority="11" operator="containsText" text="Ord A">
      <formula>NOT(ISERROR(SEARCH("Ord A",I10)))</formula>
    </cfRule>
    <cfRule type="cellIs" dxfId="4" priority="12" operator="greaterThanOrEqual">
      <formula>8.5</formula>
    </cfRule>
  </conditionalFormatting>
  <conditionalFormatting sqref="K10:K54">
    <cfRule type="containsText" dxfId="3" priority="1" operator="containsText" text="EXTRA">
      <formula>NOT(ISERROR(SEARCH("EXTRA",K10)))</formula>
    </cfRule>
  </conditionalFormatting>
  <conditionalFormatting sqref="L10:L54">
    <cfRule type="containsText" dxfId="2" priority="2" operator="containsText" text="NP">
      <formula>NOT(ISERROR(SEARCH("NP",L10)))</formula>
    </cfRule>
    <cfRule type="containsText" dxfId="1" priority="3" operator="containsText" text="NA">
      <formula>NOT(ISERROR(SEARCH("NA",L10)))</formula>
    </cfRule>
    <cfRule type="cellIs" dxfId="0" priority="4" operator="greaterThanOrEqual">
      <formula>7</formula>
    </cfRule>
  </conditionalFormatting>
  <dataValidations count="8">
    <dataValidation allowBlank="1" showInputMessage="1" showErrorMessage="1" promptTitle="Grupo" prompt="Escribe el grupo de la siguiente manera: 1 A." sqref="C5" xr:uid="{8CC6011D-F12B-4058-9C97-C83C31C1FF85}"/>
    <dataValidation allowBlank="1" showInputMessage="1" showErrorMessage="1" promptTitle="Asignatura" prompt="Escribe el nombre de la asignatura." sqref="C6" xr:uid="{29A61B99-C845-4005-8C33-33D2EE3F1B63}"/>
    <dataValidation allowBlank="1" showInputMessage="1" showErrorMessage="1" promptTitle="Docente" prompt="Escribe tu nombre." sqref="C7" xr:uid="{52039A81-94FD-4A57-8CCC-2774A467A6F9}"/>
    <dataValidation allowBlank="1" showInputMessage="1" showErrorMessage="1" promptTitle="Porcentaje" prompt="Modifica el porcentaje de las actividades." sqref="E7" xr:uid="{197974BF-AC28-4232-B2B0-588BFAB3E532}"/>
    <dataValidation allowBlank="1" showInputMessage="1" showErrorMessage="1" promptTitle="Porcentaje" prompt="Modifica el porcentaje de las evidencias." sqref="F7" xr:uid="{89C672B4-C764-4543-AAC1-13B1871BF2EE}"/>
    <dataValidation allowBlank="1" showInputMessage="1" showErrorMessage="1" promptTitle="Porcentaje" prompt="Modifica el porcentaje del producto." sqref="G7" xr:uid="{81DF27A3-2808-406C-8F71-F8BDDF7BE117}"/>
    <dataValidation allowBlank="1" showInputMessage="1" showErrorMessage="1" promptTitle="Porcentaje" prompt="Modifica el porcentaje del examen." sqref="H7" xr:uid="{97AF7520-E285-453A-B676-0BDC2409C6CA}"/>
    <dataValidation type="list" allowBlank="1" showInputMessage="1" showErrorMessage="1" errorTitle="Atención" error="Solamente puedes seleccionar una opción determinada." promptTitle="Atención" prompt="Selecciona alguna opción:_x000a_NA: No Acreditó _x000a_NP: No Presentó_x000a_6 al 10" sqref="L10:L54" xr:uid="{35A7E1B9-CC4F-4E3F-9741-E0780175106D}">
      <formula1>"NA, NP, 6, 7, 8, 9, 10"</formula1>
    </dataValidation>
  </dataValidations>
  <pageMargins left="0.7" right="0.7" top="0.75" bottom="0.75" header="0.3" footer="0.3"/>
  <pageSetup orientation="portrait" r:id="rId1"/>
  <ignoredErrors>
    <ignoredError sqref="H10:H2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670F-238B-4D85-AB8F-40DE618D9701}">
  <dimension ref="A1:BJ54"/>
  <sheetViews>
    <sheetView showGridLines="0" showRuler="0" zoomScale="110" zoomScaleNormal="110" zoomScaleSheetLayoutView="100" workbookViewId="0">
      <pane xSplit="3" topLeftCell="D1" activePane="topRight" state="frozen"/>
      <selection pane="topRight" sqref="A1:C2"/>
    </sheetView>
  </sheetViews>
  <sheetFormatPr baseColWidth="10" defaultColWidth="11.625" defaultRowHeight="14.25"/>
  <cols>
    <col min="1" max="1" width="4.125" style="1" bestFit="1" customWidth="1"/>
    <col min="2" max="2" width="12.25" style="1" bestFit="1" customWidth="1"/>
    <col min="3" max="3" width="44.25" style="1" customWidth="1"/>
    <col min="4" max="4" width="3.125" style="1" customWidth="1"/>
    <col min="5" max="25" width="3" style="1" bestFit="1" customWidth="1"/>
    <col min="26" max="26" width="4.75" style="1" bestFit="1" customWidth="1"/>
    <col min="27" max="43" width="4.875" style="1" bestFit="1" customWidth="1"/>
    <col min="44" max="44" width="4.75" style="1" bestFit="1" customWidth="1"/>
    <col min="45" max="53" width="4.875" style="1" bestFit="1" customWidth="1"/>
    <col min="54" max="55" width="6.75" style="1" customWidth="1"/>
    <col min="56" max="60" width="5" style="1" customWidth="1"/>
    <col min="61" max="61" width="11.75" style="1" customWidth="1"/>
    <col min="62" max="16384" width="11.625" style="1"/>
  </cols>
  <sheetData>
    <row r="1" spans="1:62">
      <c r="A1" s="209"/>
      <c r="B1" s="210"/>
      <c r="C1" s="210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36"/>
    </row>
    <row r="2" spans="1:62" ht="15">
      <c r="A2" s="211"/>
      <c r="B2" s="182"/>
      <c r="C2" s="182"/>
      <c r="D2"/>
      <c r="E2" s="198" t="str">
        <f>IF(General!D5="","",General!D5)</f>
        <v>Ponderaciones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37"/>
    </row>
    <row r="3" spans="1:62" ht="15">
      <c r="A3" s="179" t="str">
        <f>IF(General!A5="","",General!A5)</f>
        <v>Grupo:</v>
      </c>
      <c r="B3" s="180"/>
      <c r="C3" s="160" t="str">
        <f>IF(General!C5="","",General!C5)</f>
        <v>2A</v>
      </c>
      <c r="D3"/>
      <c r="E3" s="199" t="str">
        <f>IF(General!D6="","",General!D6)</f>
        <v>Asistencia</v>
      </c>
      <c r="F3" s="199"/>
      <c r="G3" s="199"/>
      <c r="H3" s="199"/>
      <c r="I3" s="199" t="str">
        <f>IF(General!E6="","",General!E6)</f>
        <v>Actividades</v>
      </c>
      <c r="J3" s="199"/>
      <c r="K3" s="199"/>
      <c r="L3" s="199"/>
      <c r="M3" s="199" t="str">
        <f>IF(General!F6="","",General!F6)</f>
        <v>Evidencias</v>
      </c>
      <c r="N3" s="199"/>
      <c r="O3" s="199"/>
      <c r="P3" s="199"/>
      <c r="Q3" s="199" t="str">
        <f>IF(General!G6="","",General!G6)</f>
        <v>Producto</v>
      </c>
      <c r="R3" s="199"/>
      <c r="S3" s="199"/>
      <c r="T3" s="199"/>
      <c r="U3" s="199" t="str">
        <f>IF(General!H6="","",General!H6)</f>
        <v>Examen</v>
      </c>
      <c r="V3" s="199"/>
      <c r="W3" s="199"/>
      <c r="X3" s="199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37"/>
    </row>
    <row r="4" spans="1:62" ht="15">
      <c r="A4" s="179" t="str">
        <f>IF(General!A6="","",General!A6)</f>
        <v>Asignatura:</v>
      </c>
      <c r="B4" s="180"/>
      <c r="C4" s="160" t="str">
        <f>IF(General!C6="","",General!C6)</f>
        <v>HABILIDADES SOCIALES</v>
      </c>
      <c r="D4"/>
      <c r="E4" s="200">
        <f>IF(General!D7="","",General!D7)</f>
        <v>0</v>
      </c>
      <c r="F4" s="201"/>
      <c r="G4" s="201"/>
      <c r="H4" s="201"/>
      <c r="I4" s="200">
        <f>IF(General!E7="","",General!E7)</f>
        <v>0.2</v>
      </c>
      <c r="J4" s="201"/>
      <c r="K4" s="201"/>
      <c r="L4" s="201"/>
      <c r="M4" s="200">
        <f>IF(General!F7="","",General!F7)</f>
        <v>0.2</v>
      </c>
      <c r="N4" s="201"/>
      <c r="O4" s="201"/>
      <c r="P4" s="201"/>
      <c r="Q4" s="200">
        <f>IF(General!G7="","",General!G7)</f>
        <v>0.3</v>
      </c>
      <c r="R4" s="201"/>
      <c r="S4" s="201"/>
      <c r="T4" s="201"/>
      <c r="U4" s="200">
        <f>IF(General!H7="","",General!H7)</f>
        <v>0.3</v>
      </c>
      <c r="V4" s="201"/>
      <c r="W4" s="201"/>
      <c r="X4" s="201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37"/>
    </row>
    <row r="5" spans="1:62" ht="15.75" thickBot="1">
      <c r="A5" s="212" t="str">
        <f>IF(General!A7="","",General!A7)</f>
        <v>Docente:</v>
      </c>
      <c r="B5" s="213"/>
      <c r="C5" s="160" t="str">
        <f>IF(General!C7="","",General!C7)</f>
        <v>EVANGELINA REYES AYALA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37"/>
    </row>
    <row r="6" spans="1:62" ht="40.15" customHeight="1" thickBot="1">
      <c r="A6" s="222" t="s">
        <v>1</v>
      </c>
      <c r="B6" s="222" t="s">
        <v>0</v>
      </c>
      <c r="C6" s="222" t="s">
        <v>10</v>
      </c>
      <c r="D6" s="258" t="s">
        <v>6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60"/>
      <c r="Z6" s="235" t="s">
        <v>20</v>
      </c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7"/>
      <c r="AR6" s="238" t="s">
        <v>21</v>
      </c>
      <c r="AS6" s="239"/>
      <c r="AT6" s="239"/>
      <c r="AU6" s="239"/>
      <c r="AV6" s="239"/>
      <c r="AW6" s="239"/>
      <c r="AX6" s="239"/>
      <c r="AY6" s="239"/>
      <c r="AZ6" s="239"/>
      <c r="BA6" s="240"/>
      <c r="BB6" s="225" t="s">
        <v>22</v>
      </c>
      <c r="BC6" s="232" t="s">
        <v>23</v>
      </c>
      <c r="BD6" s="241" t="str">
        <f>CONCATENATE(General!$D$6, ": ", General!$D$7*100, " %")</f>
        <v>Asistencia: 0 %</v>
      </c>
      <c r="BE6" s="244" t="str">
        <f>CONCATENATE(General!$E$6, ": ", General!$E$7*100, " %")</f>
        <v>Actividades: 20 %</v>
      </c>
      <c r="BF6" s="247" t="str">
        <f>CONCATENATE(General!$F$6, ": ", General!$F$7*100, " %")</f>
        <v>Evidencias: 20 %</v>
      </c>
      <c r="BG6" s="225" t="str">
        <f>CONCATENATE(General!$G$6, ": ", General!$G$7*100, " %")</f>
        <v>Producto: 30 %</v>
      </c>
      <c r="BH6" s="232" t="str">
        <f>CONCATENATE(General!$H$6, ": ", General!$H$7*100, " %")</f>
        <v>Examen: 30 %</v>
      </c>
      <c r="BI6" s="202" t="s">
        <v>24</v>
      </c>
      <c r="BJ6" s="195" t="s">
        <v>29</v>
      </c>
    </row>
    <row r="7" spans="1:62">
      <c r="A7" s="223"/>
      <c r="B7" s="223"/>
      <c r="C7" s="223"/>
      <c r="D7" s="218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30"/>
      <c r="W7" s="252" t="s">
        <v>28</v>
      </c>
      <c r="X7" s="253"/>
      <c r="Y7" s="254"/>
      <c r="Z7" s="250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28"/>
      <c r="AR7" s="220"/>
      <c r="AS7" s="205"/>
      <c r="AT7" s="205"/>
      <c r="AU7" s="205"/>
      <c r="AV7" s="205"/>
      <c r="AW7" s="205"/>
      <c r="AX7" s="205"/>
      <c r="AY7" s="205"/>
      <c r="AZ7" s="205"/>
      <c r="BA7" s="207"/>
      <c r="BB7" s="226"/>
      <c r="BC7" s="233"/>
      <c r="BD7" s="242"/>
      <c r="BE7" s="245"/>
      <c r="BF7" s="248"/>
      <c r="BG7" s="226"/>
      <c r="BH7" s="233"/>
      <c r="BI7" s="203"/>
      <c r="BJ7" s="196"/>
    </row>
    <row r="8" spans="1:62" ht="35.450000000000003" customHeight="1" thickBot="1">
      <c r="A8" s="224"/>
      <c r="B8" s="224"/>
      <c r="C8" s="224"/>
      <c r="D8" s="219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31"/>
      <c r="W8" s="255"/>
      <c r="X8" s="256"/>
      <c r="Y8" s="257"/>
      <c r="Z8" s="251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29"/>
      <c r="AR8" s="221"/>
      <c r="AS8" s="206"/>
      <c r="AT8" s="206"/>
      <c r="AU8" s="206"/>
      <c r="AV8" s="206"/>
      <c r="AW8" s="206"/>
      <c r="AX8" s="206"/>
      <c r="AY8" s="206"/>
      <c r="AZ8" s="206"/>
      <c r="BA8" s="208"/>
      <c r="BB8" s="227"/>
      <c r="BC8" s="234"/>
      <c r="BD8" s="243"/>
      <c r="BE8" s="246"/>
      <c r="BF8" s="249"/>
      <c r="BG8" s="227"/>
      <c r="BH8" s="234"/>
      <c r="BI8" s="204"/>
      <c r="BJ8" s="197"/>
    </row>
    <row r="9" spans="1:62" ht="15">
      <c r="A9" s="120">
        <f>IF(General!A10="","",General!A10)</f>
        <v>1</v>
      </c>
      <c r="B9" s="120" t="str">
        <f>IF(General!B10="","",General!B10)</f>
        <v/>
      </c>
      <c r="C9" s="120" t="str">
        <f>IF(General!C10="","",General!C10)</f>
        <v/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108"/>
      <c r="W9" s="114"/>
      <c r="X9" s="96"/>
      <c r="Y9" s="97"/>
      <c r="Z9" s="40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  <c r="AR9" s="43"/>
      <c r="AS9" s="44"/>
      <c r="AT9" s="44"/>
      <c r="AU9" s="44"/>
      <c r="AV9" s="44"/>
      <c r="AW9" s="44"/>
      <c r="AX9" s="44"/>
      <c r="AY9" s="44"/>
      <c r="AZ9" s="44"/>
      <c r="BA9" s="45"/>
      <c r="BB9" s="46"/>
      <c r="BC9" s="47"/>
      <c r="BD9" s="123" t="str">
        <f>IF(ISERROR(COUNTIF($D9:$Y9,1)/(COUNTIF($D9:$Y9,1)+COUNTIF($D9:$Y9,0))),"",COUNTIF($D9:$Y9,1)/(COUNTIF($D9:$Y9,1)+COUNTIF($D9:$Y9,0))*General!$D$7*10)</f>
        <v/>
      </c>
      <c r="BE9" s="124" t="str">
        <f>IFERROR(AVERAGE($Z9:$AQ9) * General!$E$7, "")</f>
        <v/>
      </c>
      <c r="BF9" s="125" t="str">
        <f>IFERROR(AVERAGE($AR9:$BA9) * General!$F$7, "")</f>
        <v/>
      </c>
      <c r="BG9" s="126" t="str">
        <f>IFERROR(AVERAGE($BB9) * General!$G$7, "")</f>
        <v/>
      </c>
      <c r="BH9" s="127" t="str">
        <f>IFERROR(AVERAGE($BC9) * General!$H$7, "")</f>
        <v/>
      </c>
      <c r="BI9" s="156">
        <f>SUM(BD9:BH9)</f>
        <v>0</v>
      </c>
      <c r="BJ9" s="161" t="str">
        <f>IF(ISERROR(COUNTIF($D9:$Y9,1)/(COUNTIF($D9:$Y9,1)+COUNTIF($D9:$Y9,0))),"",COUNTIF($D9:$Y9,1)/(COUNTIF($D9:$Y9,1)+COUNTIF($D9:$Y9,0)))</f>
        <v/>
      </c>
    </row>
    <row r="10" spans="1:62" ht="15">
      <c r="A10" s="23">
        <f>IF(General!A11="","",General!A11)</f>
        <v>2</v>
      </c>
      <c r="B10" s="146" t="str">
        <f>IF(General!B11="","",General!B11)</f>
        <v/>
      </c>
      <c r="C10" s="23" t="str">
        <f>IF(General!C11="","",General!C11)</f>
        <v/>
      </c>
      <c r="D10" s="48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109"/>
      <c r="W10" s="115"/>
      <c r="X10" s="98"/>
      <c r="Y10" s="99"/>
      <c r="Z10" s="50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2"/>
      <c r="AR10" s="53"/>
      <c r="AS10" s="54"/>
      <c r="AT10" s="54"/>
      <c r="AU10" s="54"/>
      <c r="AV10" s="54"/>
      <c r="AW10" s="54"/>
      <c r="AX10" s="54"/>
      <c r="AY10" s="54"/>
      <c r="AZ10" s="54"/>
      <c r="BA10" s="55"/>
      <c r="BB10" s="56"/>
      <c r="BC10" s="57"/>
      <c r="BD10" s="128" t="str">
        <f>IF(ISERROR(COUNTIF($D10:$Y10,1)/(COUNTIF($D10:$Y10,1)+COUNTIF($D10:$Y10,0))),"",COUNTIF($D10:$Y10,1)/(COUNTIF($D10:$Y10,1)+COUNTIF($D10:$Y10,0))*General!$D$7*10)</f>
        <v/>
      </c>
      <c r="BE10" s="129" t="str">
        <f>IFERROR(AVERAGE($Z10:$AQ10) * General!$E$7, "")</f>
        <v/>
      </c>
      <c r="BF10" s="130" t="str">
        <f>IFERROR(AVERAGE($AR10:$BA10) * General!$F$7, "")</f>
        <v/>
      </c>
      <c r="BG10" s="131" t="str">
        <f>IFERROR(AVERAGE($BB10) * General!$G$7, "")</f>
        <v/>
      </c>
      <c r="BH10" s="132" t="str">
        <f>IFERROR(AVERAGE($BC10) * General!$H$7, "")</f>
        <v/>
      </c>
      <c r="BI10" s="157">
        <f t="shared" ref="BI10:BI53" si="0">SUM(BD10:BH10)</f>
        <v>0</v>
      </c>
      <c r="BJ10" s="162" t="str">
        <f t="shared" ref="BJ10:BJ53" si="1">IF(ISERROR(COUNTIF($D10:$Y10,1)/(COUNTIF($D10:$Y10,1)+COUNTIF($D10:$Y10,0))),"",COUNTIF($D10:$Y10,1)/(COUNTIF($D10:$Y10,1)+COUNTIF($D10:$Y10,0)))</f>
        <v/>
      </c>
    </row>
    <row r="11" spans="1:62" ht="15">
      <c r="A11" s="23">
        <f>IF(General!A12="","",General!A12)</f>
        <v>3</v>
      </c>
      <c r="B11" s="23" t="str">
        <f>IF(General!B12="","",General!B12)</f>
        <v/>
      </c>
      <c r="C11" s="23" t="str">
        <f>IF(General!C12="","",General!C12)</f>
        <v/>
      </c>
      <c r="D11" s="48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109"/>
      <c r="W11" s="115"/>
      <c r="X11" s="98"/>
      <c r="Y11" s="99"/>
      <c r="Z11" s="50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2"/>
      <c r="AR11" s="53"/>
      <c r="AS11" s="54"/>
      <c r="AT11" s="54"/>
      <c r="AU11" s="54"/>
      <c r="AV11" s="54"/>
      <c r="AW11" s="54"/>
      <c r="AX11" s="54"/>
      <c r="AY11" s="54"/>
      <c r="AZ11" s="54"/>
      <c r="BA11" s="55"/>
      <c r="BB11" s="56"/>
      <c r="BC11" s="57"/>
      <c r="BD11" s="128" t="str">
        <f>IF(ISERROR(COUNTIF($D11:$Y11,1)/(COUNTIF($D11:$Y11,1)+COUNTIF($D11:$Y11,0))),"",COUNTIF($D11:$Y11,1)/(COUNTIF($D11:$Y11,1)+COUNTIF($D11:$Y11,0))*General!$D$7*10)</f>
        <v/>
      </c>
      <c r="BE11" s="129" t="str">
        <f>IFERROR(AVERAGE($Z11:$AQ11) * General!$E$7, "")</f>
        <v/>
      </c>
      <c r="BF11" s="130" t="str">
        <f>IFERROR(AVERAGE($AR11:$BA11) * General!$F$7, "")</f>
        <v/>
      </c>
      <c r="BG11" s="131" t="str">
        <f>IFERROR(AVERAGE($BB11) * General!$G$7, "")</f>
        <v/>
      </c>
      <c r="BH11" s="132" t="str">
        <f>IFERROR(AVERAGE($BC11) * General!$H$7, "")</f>
        <v/>
      </c>
      <c r="BI11" s="157">
        <f t="shared" si="0"/>
        <v>0</v>
      </c>
      <c r="BJ11" s="162" t="str">
        <f t="shared" si="1"/>
        <v/>
      </c>
    </row>
    <row r="12" spans="1:62" ht="15">
      <c r="A12" s="23">
        <f>IF(General!A13="","",General!A13)</f>
        <v>4</v>
      </c>
      <c r="B12" s="23" t="str">
        <f>IF(General!B13="","",General!B13)</f>
        <v/>
      </c>
      <c r="C12" s="23" t="str">
        <f>IF(General!C13="","",General!C13)</f>
        <v/>
      </c>
      <c r="D12" s="48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109"/>
      <c r="W12" s="115"/>
      <c r="X12" s="98"/>
      <c r="Y12" s="99"/>
      <c r="Z12" s="50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/>
      <c r="AR12" s="53"/>
      <c r="AS12" s="54"/>
      <c r="AT12" s="54"/>
      <c r="AU12" s="54"/>
      <c r="AV12" s="54"/>
      <c r="AW12" s="54"/>
      <c r="AX12" s="54"/>
      <c r="AY12" s="54"/>
      <c r="AZ12" s="54"/>
      <c r="BA12" s="55"/>
      <c r="BB12" s="56"/>
      <c r="BC12" s="57"/>
      <c r="BD12" s="128" t="str">
        <f>IF(ISERROR(COUNTIF($D12:$Y12,1)/(COUNTIF($D12:$Y12,1)+COUNTIF($D12:$Y12,0))),"",COUNTIF($D12:$Y12,1)/(COUNTIF($D12:$Y12,1)+COUNTIF($D12:$Y12,0))*General!$D$7*10)</f>
        <v/>
      </c>
      <c r="BE12" s="129" t="str">
        <f>IFERROR(AVERAGE($Z12:$AQ12) * General!$E$7, "")</f>
        <v/>
      </c>
      <c r="BF12" s="130" t="str">
        <f>IFERROR(AVERAGE($AR12:$BA12) * General!$F$7, "")</f>
        <v/>
      </c>
      <c r="BG12" s="131" t="str">
        <f>IFERROR(AVERAGE($BB12) * General!$G$7, "")</f>
        <v/>
      </c>
      <c r="BH12" s="132" t="str">
        <f>IFERROR(AVERAGE($BC12) * General!$H$7, "")</f>
        <v/>
      </c>
      <c r="BI12" s="157">
        <f t="shared" si="0"/>
        <v>0</v>
      </c>
      <c r="BJ12" s="162" t="str">
        <f t="shared" si="1"/>
        <v/>
      </c>
    </row>
    <row r="13" spans="1:62" ht="15.75" thickBot="1">
      <c r="A13" s="26">
        <f>IF(General!A14="","",General!A14)</f>
        <v>5</v>
      </c>
      <c r="B13" s="26" t="str">
        <f>IF(General!B14="","",General!B14)</f>
        <v/>
      </c>
      <c r="C13" s="26" t="str">
        <f>IF(General!C14="","",General!C14)</f>
        <v/>
      </c>
      <c r="D13" s="58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110"/>
      <c r="W13" s="116"/>
      <c r="X13" s="100"/>
      <c r="Y13" s="101"/>
      <c r="Z13" s="60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2"/>
      <c r="AR13" s="63"/>
      <c r="AS13" s="64"/>
      <c r="AT13" s="64"/>
      <c r="AU13" s="64"/>
      <c r="AV13" s="64"/>
      <c r="AW13" s="64"/>
      <c r="AX13" s="64"/>
      <c r="AY13" s="64"/>
      <c r="AZ13" s="64"/>
      <c r="BA13" s="65"/>
      <c r="BB13" s="66"/>
      <c r="BC13" s="67"/>
      <c r="BD13" s="133" t="str">
        <f>IF(ISERROR(COUNTIF($D13:$Y13,1)/(COUNTIF($D13:$Y13,1)+COUNTIF($D13:$Y13,0))),"",COUNTIF($D13:$Y13,1)/(COUNTIF($D13:$Y13,1)+COUNTIF($D13:$Y13,0))*General!$D$7*10)</f>
        <v/>
      </c>
      <c r="BE13" s="134" t="str">
        <f>IFERROR(AVERAGE($Z13:$AQ13) * General!$E$7, "")</f>
        <v/>
      </c>
      <c r="BF13" s="135" t="str">
        <f>IFERROR(AVERAGE($AR13:$BA13) * General!$F$7, "")</f>
        <v/>
      </c>
      <c r="BG13" s="136" t="str">
        <f>IFERROR(AVERAGE($BB13) * General!$G$7, "")</f>
        <v/>
      </c>
      <c r="BH13" s="137" t="str">
        <f>IFERROR(AVERAGE($BC13) * General!$H$7, "")</f>
        <v/>
      </c>
      <c r="BI13" s="158">
        <f t="shared" si="0"/>
        <v>0</v>
      </c>
      <c r="BJ13" s="164" t="str">
        <f t="shared" si="1"/>
        <v/>
      </c>
    </row>
    <row r="14" spans="1:62" ht="15.75" thickTop="1">
      <c r="A14" s="121">
        <f>IF(General!A15="","",General!A15)</f>
        <v>6</v>
      </c>
      <c r="B14" s="121" t="str">
        <f>IF(General!B15="","",General!B15)</f>
        <v/>
      </c>
      <c r="C14" s="121" t="str">
        <f>IF(General!C15="","",General!C15)</f>
        <v/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111"/>
      <c r="W14" s="117"/>
      <c r="X14" s="102"/>
      <c r="Y14" s="103"/>
      <c r="Z14" s="70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  <c r="AR14" s="73"/>
      <c r="AS14" s="74"/>
      <c r="AT14" s="74"/>
      <c r="AU14" s="74"/>
      <c r="AV14" s="74"/>
      <c r="AW14" s="74"/>
      <c r="AX14" s="74"/>
      <c r="AY14" s="74"/>
      <c r="AZ14" s="74"/>
      <c r="BA14" s="75"/>
      <c r="BB14" s="76"/>
      <c r="BC14" s="47"/>
      <c r="BD14" s="123" t="str">
        <f>IF(ISERROR(COUNTIF($D14:$Y14,1)/(COUNTIF($D14:$Y14,1)+COUNTIF($D14:$Y14,0))),"",COUNTIF($D14:$Y14,1)/(COUNTIF($D14:$Y14,1)+COUNTIF($D14:$Y14,0))*General!$D$7*10)</f>
        <v/>
      </c>
      <c r="BE14" s="124" t="str">
        <f>IFERROR(AVERAGE($Z14:$AQ14) * General!$E$7, "")</f>
        <v/>
      </c>
      <c r="BF14" s="125" t="str">
        <f>IFERROR(AVERAGE($AR14:$BA14) * General!$F$7, "")</f>
        <v/>
      </c>
      <c r="BG14" s="126" t="str">
        <f>IFERROR(AVERAGE($BB14) * General!$G$7, "")</f>
        <v/>
      </c>
      <c r="BH14" s="127" t="str">
        <f>IFERROR(AVERAGE($BC14) * General!$H$7, "")</f>
        <v/>
      </c>
      <c r="BI14" s="156">
        <f t="shared" si="0"/>
        <v>0</v>
      </c>
      <c r="BJ14" s="161" t="str">
        <f t="shared" si="1"/>
        <v/>
      </c>
    </row>
    <row r="15" spans="1:62" ht="15">
      <c r="A15" s="23">
        <f>IF(General!A16="","",General!A16)</f>
        <v>7</v>
      </c>
      <c r="B15" s="23" t="str">
        <f>IF(General!B16="","",General!B16)</f>
        <v/>
      </c>
      <c r="C15" s="23" t="str">
        <f>IF(General!C16="","",General!C16)</f>
        <v/>
      </c>
      <c r="D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109"/>
      <c r="W15" s="115"/>
      <c r="X15" s="98"/>
      <c r="Y15" s="99"/>
      <c r="Z15" s="50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2"/>
      <c r="AR15" s="53"/>
      <c r="AS15" s="54"/>
      <c r="AT15" s="54"/>
      <c r="AU15" s="54"/>
      <c r="AV15" s="54"/>
      <c r="AW15" s="54"/>
      <c r="AX15" s="54"/>
      <c r="AY15" s="54"/>
      <c r="AZ15" s="54"/>
      <c r="BA15" s="55"/>
      <c r="BB15" s="56"/>
      <c r="BC15" s="57"/>
      <c r="BD15" s="128" t="str">
        <f>IF(ISERROR(COUNTIF($D15:$Y15,1)/(COUNTIF($D15:$Y15,1)+COUNTIF($D15:$Y15,0))),"",COUNTIF($D15:$Y15,1)/(COUNTIF($D15:$Y15,1)+COUNTIF($D15:$Y15,0))*General!$D$7*10)</f>
        <v/>
      </c>
      <c r="BE15" s="129" t="str">
        <f>IFERROR(AVERAGE($Z15:$AQ15) * General!$E$7, "")</f>
        <v/>
      </c>
      <c r="BF15" s="130" t="str">
        <f>IFERROR(AVERAGE($AR15:$BA15) * General!$F$7, "")</f>
        <v/>
      </c>
      <c r="BG15" s="131" t="str">
        <f>IFERROR(AVERAGE($BB15) * General!$G$7, "")</f>
        <v/>
      </c>
      <c r="BH15" s="132" t="str">
        <f>IFERROR(AVERAGE($BC15) * General!$H$7, "")</f>
        <v/>
      </c>
      <c r="BI15" s="157">
        <f t="shared" si="0"/>
        <v>0</v>
      </c>
      <c r="BJ15" s="162" t="str">
        <f t="shared" si="1"/>
        <v/>
      </c>
    </row>
    <row r="16" spans="1:62" ht="15">
      <c r="A16" s="23">
        <f>IF(General!A17="","",General!A17)</f>
        <v>8</v>
      </c>
      <c r="B16" s="23" t="str">
        <f>IF(General!B17="","",General!B17)</f>
        <v/>
      </c>
      <c r="C16" s="23" t="str">
        <f>IF(General!C17="","",General!C17)</f>
        <v/>
      </c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109"/>
      <c r="W16" s="115"/>
      <c r="X16" s="98"/>
      <c r="Y16" s="99"/>
      <c r="Z16" s="50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2"/>
      <c r="AR16" s="53"/>
      <c r="AS16" s="54"/>
      <c r="AT16" s="54"/>
      <c r="AU16" s="54"/>
      <c r="AV16" s="54"/>
      <c r="AW16" s="54"/>
      <c r="AX16" s="54"/>
      <c r="AY16" s="54"/>
      <c r="AZ16" s="54"/>
      <c r="BA16" s="55"/>
      <c r="BB16" s="56"/>
      <c r="BC16" s="57"/>
      <c r="BD16" s="128" t="str">
        <f>IF(ISERROR(COUNTIF($D16:$Y16,1)/(COUNTIF($D16:$Y16,1)+COUNTIF($D16:$Y16,0))),"",COUNTIF($D16:$Y16,1)/(COUNTIF($D16:$Y16,1)+COUNTIF($D16:$Y16,0))*General!$D$7*10)</f>
        <v/>
      </c>
      <c r="BE16" s="129" t="str">
        <f>IFERROR(AVERAGE($Z16:$AQ16) * General!$E$7, "")</f>
        <v/>
      </c>
      <c r="BF16" s="130" t="str">
        <f>IFERROR(AVERAGE($AR16:$BA16) * General!$F$7, "")</f>
        <v/>
      </c>
      <c r="BG16" s="131" t="str">
        <f>IFERROR(AVERAGE($BB16) * General!$G$7, "")</f>
        <v/>
      </c>
      <c r="BH16" s="132" t="str">
        <f>IFERROR(AVERAGE($BC16) * General!$H$7, "")</f>
        <v/>
      </c>
      <c r="BI16" s="157">
        <f t="shared" si="0"/>
        <v>0</v>
      </c>
      <c r="BJ16" s="162" t="str">
        <f t="shared" si="1"/>
        <v/>
      </c>
    </row>
    <row r="17" spans="1:62" ht="15">
      <c r="A17" s="23">
        <f>IF(General!A18="","",General!A18)</f>
        <v>9</v>
      </c>
      <c r="B17" s="23" t="str">
        <f>IF(General!B18="","",General!B18)</f>
        <v/>
      </c>
      <c r="C17" s="23" t="str">
        <f>IF(General!C18="","",General!C18)</f>
        <v/>
      </c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109"/>
      <c r="W17" s="115"/>
      <c r="X17" s="98"/>
      <c r="Y17" s="99"/>
      <c r="Z17" s="50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2"/>
      <c r="AR17" s="53"/>
      <c r="AS17" s="54"/>
      <c r="AT17" s="54"/>
      <c r="AU17" s="54"/>
      <c r="AV17" s="54"/>
      <c r="AW17" s="54"/>
      <c r="AX17" s="54"/>
      <c r="AY17" s="54"/>
      <c r="AZ17" s="54"/>
      <c r="BA17" s="55"/>
      <c r="BB17" s="56"/>
      <c r="BC17" s="57"/>
      <c r="BD17" s="128" t="str">
        <f>IF(ISERROR(COUNTIF($D17:$Y17,1)/(COUNTIF($D17:$Y17,1)+COUNTIF($D17:$Y17,0))),"",COUNTIF($D17:$Y17,1)/(COUNTIF($D17:$Y17,1)+COUNTIF($D17:$Y17,0))*General!$D$7*10)</f>
        <v/>
      </c>
      <c r="BE17" s="129" t="str">
        <f>IFERROR(AVERAGE($Z17:$AQ17) * General!$E$7, "")</f>
        <v/>
      </c>
      <c r="BF17" s="130" t="str">
        <f>IFERROR(AVERAGE($AR17:$BA17) * General!$F$7, "")</f>
        <v/>
      </c>
      <c r="BG17" s="131" t="str">
        <f>IFERROR(AVERAGE($BB17) * General!$G$7, "")</f>
        <v/>
      </c>
      <c r="BH17" s="132" t="str">
        <f>IFERROR(AVERAGE($BC17) * General!$H$7, "")</f>
        <v/>
      </c>
      <c r="BI17" s="157">
        <f t="shared" si="0"/>
        <v>0</v>
      </c>
      <c r="BJ17" s="162" t="str">
        <f t="shared" si="1"/>
        <v/>
      </c>
    </row>
    <row r="18" spans="1:62" ht="15.75" thickBot="1">
      <c r="A18" s="26">
        <f>IF(General!A19="","",General!A19)</f>
        <v>10</v>
      </c>
      <c r="B18" s="26" t="str">
        <f>IF(General!B19="","",General!B19)</f>
        <v/>
      </c>
      <c r="C18" s="26" t="str">
        <f>IF(General!C19="","",General!C19)</f>
        <v/>
      </c>
      <c r="D18" s="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110"/>
      <c r="W18" s="116"/>
      <c r="X18" s="100"/>
      <c r="Y18" s="101"/>
      <c r="Z18" s="60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2"/>
      <c r="AR18" s="63"/>
      <c r="AS18" s="64"/>
      <c r="AT18" s="64"/>
      <c r="AU18" s="64"/>
      <c r="AV18" s="64"/>
      <c r="AW18" s="64"/>
      <c r="AX18" s="64"/>
      <c r="AY18" s="64"/>
      <c r="AZ18" s="64"/>
      <c r="BA18" s="65"/>
      <c r="BB18" s="66"/>
      <c r="BC18" s="67"/>
      <c r="BD18" s="133" t="str">
        <f>IF(ISERROR(COUNTIF($D18:$Y18,1)/(COUNTIF($D18:$Y18,1)+COUNTIF($D18:$Y18,0))),"",COUNTIF($D18:$Y18,1)/(COUNTIF($D18:$Y18,1)+COUNTIF($D18:$Y18,0))*General!$D$7*10)</f>
        <v/>
      </c>
      <c r="BE18" s="134" t="str">
        <f>IFERROR(AVERAGE($Z18:$AQ18) * General!$E$7, "")</f>
        <v/>
      </c>
      <c r="BF18" s="135" t="str">
        <f>IFERROR(AVERAGE($AR18:$BA18) * General!$F$7, "")</f>
        <v/>
      </c>
      <c r="BG18" s="136" t="str">
        <f>IFERROR(AVERAGE($BB18) * General!$G$7, "")</f>
        <v/>
      </c>
      <c r="BH18" s="137" t="str">
        <f>IFERROR(AVERAGE($BC18) * General!$H$7, "")</f>
        <v/>
      </c>
      <c r="BI18" s="158">
        <f t="shared" si="0"/>
        <v>0</v>
      </c>
      <c r="BJ18" s="164" t="str">
        <f t="shared" si="1"/>
        <v/>
      </c>
    </row>
    <row r="19" spans="1:62" ht="15.75" thickTop="1">
      <c r="A19" s="121">
        <f>IF(General!A20="","",General!A20)</f>
        <v>11</v>
      </c>
      <c r="B19" s="121" t="str">
        <f>IF(General!B20="","",General!B20)</f>
        <v/>
      </c>
      <c r="C19" s="121" t="str">
        <f>IF(General!C20="","",General!C20)</f>
        <v/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111"/>
      <c r="W19" s="117"/>
      <c r="X19" s="102"/>
      <c r="Y19" s="103"/>
      <c r="Z19" s="70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2"/>
      <c r="AR19" s="73"/>
      <c r="AS19" s="74"/>
      <c r="AT19" s="74"/>
      <c r="AU19" s="74"/>
      <c r="AV19" s="74"/>
      <c r="AW19" s="74"/>
      <c r="AX19" s="74"/>
      <c r="AY19" s="74"/>
      <c r="AZ19" s="74"/>
      <c r="BA19" s="75"/>
      <c r="BB19" s="76"/>
      <c r="BC19" s="47"/>
      <c r="BD19" s="123" t="str">
        <f>IF(ISERROR(COUNTIF($D19:$Y19,1)/(COUNTIF($D19:$Y19,1)+COUNTIF($D19:$Y19,0))),"",COUNTIF($D19:$Y19,1)/(COUNTIF($D19:$Y19,1)+COUNTIF($D19:$Y19,0))*General!$D$7*10)</f>
        <v/>
      </c>
      <c r="BE19" s="124" t="str">
        <f>IFERROR(AVERAGE($Z19:$AQ19) * General!$E$7, "")</f>
        <v/>
      </c>
      <c r="BF19" s="125" t="str">
        <f>IFERROR(AVERAGE($AR19:$BA19) * General!$F$7, "")</f>
        <v/>
      </c>
      <c r="BG19" s="126" t="str">
        <f>IFERROR(AVERAGE($BB19) * General!$G$7, "")</f>
        <v/>
      </c>
      <c r="BH19" s="127" t="str">
        <f>IFERROR(AVERAGE($BC19) * General!$H$7, "")</f>
        <v/>
      </c>
      <c r="BI19" s="156">
        <f t="shared" si="0"/>
        <v>0</v>
      </c>
      <c r="BJ19" s="161" t="str">
        <f t="shared" si="1"/>
        <v/>
      </c>
    </row>
    <row r="20" spans="1:62" ht="15">
      <c r="A20" s="23">
        <f>IF(General!A21="","",General!A21)</f>
        <v>12</v>
      </c>
      <c r="B20" s="23" t="str">
        <f>IF(General!B21="","",General!B21)</f>
        <v/>
      </c>
      <c r="C20" s="23" t="str">
        <f>IF(General!C21="","",General!C21)</f>
        <v/>
      </c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109"/>
      <c r="W20" s="115"/>
      <c r="X20" s="98"/>
      <c r="Y20" s="99"/>
      <c r="Z20" s="50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2"/>
      <c r="AR20" s="53"/>
      <c r="AS20" s="54"/>
      <c r="AT20" s="54"/>
      <c r="AU20" s="54"/>
      <c r="AV20" s="54"/>
      <c r="AW20" s="54"/>
      <c r="AX20" s="54"/>
      <c r="AY20" s="54"/>
      <c r="AZ20" s="54"/>
      <c r="BA20" s="55"/>
      <c r="BB20" s="56"/>
      <c r="BC20" s="57"/>
      <c r="BD20" s="128" t="str">
        <f>IF(ISERROR(COUNTIF($D20:$Y20,1)/(COUNTIF($D20:$Y20,1)+COUNTIF($D20:$Y20,0))),"",COUNTIF($D20:$Y20,1)/(COUNTIF($D20:$Y20,1)+COUNTIF($D20:$Y20,0))*General!$D$7*10)</f>
        <v/>
      </c>
      <c r="BE20" s="129" t="str">
        <f>IFERROR(AVERAGE($Z20:$AQ20) * General!$E$7, "")</f>
        <v/>
      </c>
      <c r="BF20" s="130" t="str">
        <f>IFERROR(AVERAGE($AR20:$BA20) * General!$F$7, "")</f>
        <v/>
      </c>
      <c r="BG20" s="131" t="str">
        <f>IFERROR(AVERAGE($BB20) * General!$G$7, "")</f>
        <v/>
      </c>
      <c r="BH20" s="132" t="str">
        <f>IFERROR(AVERAGE($BC20) * General!$H$7, "")</f>
        <v/>
      </c>
      <c r="BI20" s="157">
        <f t="shared" si="0"/>
        <v>0</v>
      </c>
      <c r="BJ20" s="162" t="str">
        <f t="shared" si="1"/>
        <v/>
      </c>
    </row>
    <row r="21" spans="1:62" ht="15">
      <c r="A21" s="23">
        <f>IF(General!A22="","",General!A22)</f>
        <v>13</v>
      </c>
      <c r="B21" s="23" t="str">
        <f>IF(General!B22="","",General!B22)</f>
        <v/>
      </c>
      <c r="C21" s="23" t="str">
        <f>IF(General!C22="","",General!C22)</f>
        <v/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109"/>
      <c r="W21" s="115"/>
      <c r="X21" s="98"/>
      <c r="Y21" s="99"/>
      <c r="Z21" s="50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2"/>
      <c r="AR21" s="53"/>
      <c r="AS21" s="54"/>
      <c r="AT21" s="54"/>
      <c r="AU21" s="54"/>
      <c r="AV21" s="54"/>
      <c r="AW21" s="54"/>
      <c r="AX21" s="54"/>
      <c r="AY21" s="54"/>
      <c r="AZ21" s="54"/>
      <c r="BA21" s="55"/>
      <c r="BB21" s="56"/>
      <c r="BC21" s="57"/>
      <c r="BD21" s="128" t="str">
        <f>IF(ISERROR(COUNTIF($D21:$Y21,1)/(COUNTIF($D21:$Y21,1)+COUNTIF($D21:$Y21,0))),"",COUNTIF($D21:$Y21,1)/(COUNTIF($D21:$Y21,1)+COUNTIF($D21:$Y21,0))*General!$D$7*10)</f>
        <v/>
      </c>
      <c r="BE21" s="129" t="str">
        <f>IFERROR(AVERAGE($Z21:$AQ21) * General!$E$7, "")</f>
        <v/>
      </c>
      <c r="BF21" s="130" t="str">
        <f>IFERROR(AVERAGE($AR21:$BA21) * General!$F$7, "")</f>
        <v/>
      </c>
      <c r="BG21" s="131" t="str">
        <f>IFERROR(AVERAGE($BB21) * General!$G$7, "")</f>
        <v/>
      </c>
      <c r="BH21" s="132" t="str">
        <f>IFERROR(AVERAGE($BC21) * General!$H$7, "")</f>
        <v/>
      </c>
      <c r="BI21" s="157">
        <f t="shared" si="0"/>
        <v>0</v>
      </c>
      <c r="BJ21" s="162" t="str">
        <f t="shared" si="1"/>
        <v/>
      </c>
    </row>
    <row r="22" spans="1:62" ht="15">
      <c r="A22" s="23">
        <f>IF(General!A23="","",General!A23)</f>
        <v>14</v>
      </c>
      <c r="B22" s="23" t="str">
        <f>IF(General!B23="","",General!B23)</f>
        <v/>
      </c>
      <c r="C22" s="23" t="str">
        <f>IF(General!C23="","",General!C23)</f>
        <v/>
      </c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109"/>
      <c r="W22" s="115"/>
      <c r="X22" s="98"/>
      <c r="Y22" s="99"/>
      <c r="Z22" s="50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2"/>
      <c r="AR22" s="53"/>
      <c r="AS22" s="54"/>
      <c r="AT22" s="54"/>
      <c r="AU22" s="54"/>
      <c r="AV22" s="54"/>
      <c r="AW22" s="54"/>
      <c r="AX22" s="54"/>
      <c r="AY22" s="54"/>
      <c r="AZ22" s="54"/>
      <c r="BA22" s="55"/>
      <c r="BB22" s="56"/>
      <c r="BC22" s="57"/>
      <c r="BD22" s="128" t="str">
        <f>IF(ISERROR(COUNTIF($D22:$Y22,1)/(COUNTIF($D22:$Y22,1)+COUNTIF($D22:$Y22,0))),"",COUNTIF($D22:$Y22,1)/(COUNTIF($D22:$Y22,1)+COUNTIF($D22:$Y22,0))*General!$D$7*10)</f>
        <v/>
      </c>
      <c r="BE22" s="129" t="str">
        <f>IFERROR(AVERAGE($Z22:$AQ22) * General!$E$7, "")</f>
        <v/>
      </c>
      <c r="BF22" s="130" t="str">
        <f>IFERROR(AVERAGE($AR22:$BA22) * General!$F$7, "")</f>
        <v/>
      </c>
      <c r="BG22" s="131" t="str">
        <f>IFERROR(AVERAGE($BB22) * General!$G$7, "")</f>
        <v/>
      </c>
      <c r="BH22" s="132" t="str">
        <f>IFERROR(AVERAGE($BC22) * General!$H$7, "")</f>
        <v/>
      </c>
      <c r="BI22" s="157">
        <f t="shared" si="0"/>
        <v>0</v>
      </c>
      <c r="BJ22" s="162" t="str">
        <f t="shared" si="1"/>
        <v/>
      </c>
    </row>
    <row r="23" spans="1:62" ht="15.75" thickBot="1">
      <c r="A23" s="26">
        <f>IF(General!A24="","",General!A24)</f>
        <v>15</v>
      </c>
      <c r="B23" s="26" t="str">
        <f>IF(General!B24="","",General!B24)</f>
        <v/>
      </c>
      <c r="C23" s="26" t="str">
        <f>IF(General!C24="","",General!C24)</f>
        <v/>
      </c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110"/>
      <c r="W23" s="116"/>
      <c r="X23" s="100"/>
      <c r="Y23" s="101"/>
      <c r="Z23" s="60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2"/>
      <c r="AR23" s="63"/>
      <c r="AS23" s="64"/>
      <c r="AT23" s="64"/>
      <c r="AU23" s="64"/>
      <c r="AV23" s="64"/>
      <c r="AW23" s="64"/>
      <c r="AX23" s="64"/>
      <c r="AY23" s="64"/>
      <c r="AZ23" s="64"/>
      <c r="BA23" s="65"/>
      <c r="BB23" s="66"/>
      <c r="BC23" s="67"/>
      <c r="BD23" s="133" t="str">
        <f>IF(ISERROR(COUNTIF($D23:$Y23,1)/(COUNTIF($D23:$Y23,1)+COUNTIF($D23:$Y23,0))),"",COUNTIF($D23:$Y23,1)/(COUNTIF($D23:$Y23,1)+COUNTIF($D23:$Y23,0))*General!$D$7*10)</f>
        <v/>
      </c>
      <c r="BE23" s="134" t="str">
        <f>IFERROR(AVERAGE($Z23:$AQ23) * General!$E$7, "")</f>
        <v/>
      </c>
      <c r="BF23" s="135" t="str">
        <f>IFERROR(AVERAGE($AR23:$BA23) * General!$F$7, "")</f>
        <v/>
      </c>
      <c r="BG23" s="136" t="str">
        <f>IFERROR(AVERAGE($BB23) * General!$G$7, "")</f>
        <v/>
      </c>
      <c r="BH23" s="137" t="str">
        <f>IFERROR(AVERAGE($BC23) * General!$H$7, "")</f>
        <v/>
      </c>
      <c r="BI23" s="158">
        <f t="shared" si="0"/>
        <v>0</v>
      </c>
      <c r="BJ23" s="164" t="str">
        <f t="shared" si="1"/>
        <v/>
      </c>
    </row>
    <row r="24" spans="1:62" ht="15.75" thickTop="1">
      <c r="A24" s="121">
        <f>IF(General!A25="","",General!A25)</f>
        <v>16</v>
      </c>
      <c r="B24" s="121" t="str">
        <f>IF(General!B25="","",General!B25)</f>
        <v/>
      </c>
      <c r="C24" s="121" t="str">
        <f>IF(General!C25="","",General!C25)</f>
        <v/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111"/>
      <c r="W24" s="117"/>
      <c r="X24" s="102"/>
      <c r="Y24" s="103"/>
      <c r="Z24" s="70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2"/>
      <c r="AR24" s="73"/>
      <c r="AS24" s="74"/>
      <c r="AT24" s="74"/>
      <c r="AU24" s="74"/>
      <c r="AV24" s="74"/>
      <c r="AW24" s="74"/>
      <c r="AX24" s="74"/>
      <c r="AY24" s="74"/>
      <c r="AZ24" s="74"/>
      <c r="BA24" s="75"/>
      <c r="BB24" s="76"/>
      <c r="BC24" s="47"/>
      <c r="BD24" s="123" t="str">
        <f>IF(ISERROR(COUNTIF($D24:$Y24,1)/(COUNTIF($D24:$Y24,1)+COUNTIF($D24:$Y24,0))),"",COUNTIF($D24:$Y24,1)/(COUNTIF($D24:$Y24,1)+COUNTIF($D24:$Y24,0))*General!$D$7*10)</f>
        <v/>
      </c>
      <c r="BE24" s="124" t="str">
        <f>IFERROR(AVERAGE($Z24:$AQ24) * General!$E$7, "")</f>
        <v/>
      </c>
      <c r="BF24" s="125" t="str">
        <f>IFERROR(AVERAGE($AR24:$BA24) * General!$F$7, "")</f>
        <v/>
      </c>
      <c r="BG24" s="126" t="str">
        <f>IFERROR(AVERAGE($BB24) * General!$G$7, "")</f>
        <v/>
      </c>
      <c r="BH24" s="127" t="str">
        <f>IFERROR(AVERAGE($BC24) * General!$H$7, "")</f>
        <v/>
      </c>
      <c r="BI24" s="156">
        <f t="shared" si="0"/>
        <v>0</v>
      </c>
      <c r="BJ24" s="161" t="str">
        <f t="shared" si="1"/>
        <v/>
      </c>
    </row>
    <row r="25" spans="1:62" ht="15">
      <c r="A25" s="23">
        <f>IF(General!A26="","",General!A26)</f>
        <v>17</v>
      </c>
      <c r="B25" s="23" t="str">
        <f>IF(General!B26="","",General!B26)</f>
        <v/>
      </c>
      <c r="C25" s="23" t="str">
        <f>IF(General!C26="","",General!C26)</f>
        <v/>
      </c>
      <c r="D25" s="48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109"/>
      <c r="W25" s="115"/>
      <c r="X25" s="98"/>
      <c r="Y25" s="99"/>
      <c r="Z25" s="50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2"/>
      <c r="AR25" s="53"/>
      <c r="AS25" s="54"/>
      <c r="AT25" s="54"/>
      <c r="AU25" s="54"/>
      <c r="AV25" s="54"/>
      <c r="AW25" s="54"/>
      <c r="AX25" s="54"/>
      <c r="AY25" s="54"/>
      <c r="AZ25" s="54"/>
      <c r="BA25" s="55"/>
      <c r="BB25" s="56"/>
      <c r="BC25" s="57"/>
      <c r="BD25" s="128" t="str">
        <f>IF(ISERROR(COUNTIF($D25:$Y25,1)/(COUNTIF($D25:$Y25,1)+COUNTIF($D25:$Y25,0))),"",COUNTIF($D25:$Y25,1)/(COUNTIF($D25:$Y25,1)+COUNTIF($D25:$Y25,0))*General!$D$7*10)</f>
        <v/>
      </c>
      <c r="BE25" s="129" t="str">
        <f>IFERROR(AVERAGE($Z25:$AQ25) * General!$E$7, "")</f>
        <v/>
      </c>
      <c r="BF25" s="130" t="str">
        <f>IFERROR(AVERAGE($AR25:$BA25) * General!$F$7, "")</f>
        <v/>
      </c>
      <c r="BG25" s="131" t="str">
        <f>IFERROR(AVERAGE($BB25) * General!$G$7, "")</f>
        <v/>
      </c>
      <c r="BH25" s="132" t="str">
        <f>IFERROR(AVERAGE($BC25) * General!$H$7, "")</f>
        <v/>
      </c>
      <c r="BI25" s="157">
        <f t="shared" si="0"/>
        <v>0</v>
      </c>
      <c r="BJ25" s="162" t="str">
        <f t="shared" si="1"/>
        <v/>
      </c>
    </row>
    <row r="26" spans="1:62" ht="15">
      <c r="A26" s="23">
        <f>IF(General!A27="","",General!A27)</f>
        <v>18</v>
      </c>
      <c r="B26" s="23" t="str">
        <f>IF(General!B27="","",General!B27)</f>
        <v/>
      </c>
      <c r="C26" s="23" t="str">
        <f>IF(General!C27="","",General!C27)</f>
        <v/>
      </c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109"/>
      <c r="W26" s="115"/>
      <c r="X26" s="98"/>
      <c r="Y26" s="99"/>
      <c r="Z26" s="50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2"/>
      <c r="AR26" s="53"/>
      <c r="AS26" s="54"/>
      <c r="AT26" s="54"/>
      <c r="AU26" s="54"/>
      <c r="AV26" s="54"/>
      <c r="AW26" s="54"/>
      <c r="AX26" s="54"/>
      <c r="AY26" s="54"/>
      <c r="AZ26" s="54"/>
      <c r="BA26" s="55"/>
      <c r="BB26" s="56"/>
      <c r="BC26" s="57"/>
      <c r="BD26" s="128" t="str">
        <f>IF(ISERROR(COUNTIF($D26:$Y26,1)/(COUNTIF($D26:$Y26,1)+COUNTIF($D26:$Y26,0))),"",COUNTIF($D26:$Y26,1)/(COUNTIF($D26:$Y26,1)+COUNTIF($D26:$Y26,0))*General!$D$7*10)</f>
        <v/>
      </c>
      <c r="BE26" s="129" t="str">
        <f>IFERROR(AVERAGE($Z26:$AQ26) * General!$E$7, "")</f>
        <v/>
      </c>
      <c r="BF26" s="130" t="str">
        <f>IFERROR(AVERAGE($AR26:$BA26) * General!$F$7, "")</f>
        <v/>
      </c>
      <c r="BG26" s="131" t="str">
        <f>IFERROR(AVERAGE($BB26) * General!$G$7, "")</f>
        <v/>
      </c>
      <c r="BH26" s="132" t="str">
        <f>IFERROR(AVERAGE($BC26) * General!$H$7, "")</f>
        <v/>
      </c>
      <c r="BI26" s="157">
        <f t="shared" si="0"/>
        <v>0</v>
      </c>
      <c r="BJ26" s="162" t="str">
        <f t="shared" si="1"/>
        <v/>
      </c>
    </row>
    <row r="27" spans="1:62" ht="15">
      <c r="A27" s="23">
        <f>IF(General!A28="","",General!A28)</f>
        <v>19</v>
      </c>
      <c r="B27" s="23" t="str">
        <f>IF(General!B28="","",General!B28)</f>
        <v/>
      </c>
      <c r="C27" s="23" t="str">
        <f>IF(General!C28="","",General!C28)</f>
        <v/>
      </c>
      <c r="D27" s="48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109"/>
      <c r="W27" s="115"/>
      <c r="X27" s="98"/>
      <c r="Y27" s="99"/>
      <c r="Z27" s="50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2"/>
      <c r="AR27" s="53"/>
      <c r="AS27" s="54"/>
      <c r="AT27" s="54"/>
      <c r="AU27" s="54"/>
      <c r="AV27" s="54"/>
      <c r="AW27" s="54"/>
      <c r="AX27" s="54"/>
      <c r="AY27" s="54"/>
      <c r="AZ27" s="54"/>
      <c r="BA27" s="55"/>
      <c r="BB27" s="56"/>
      <c r="BC27" s="57"/>
      <c r="BD27" s="128" t="str">
        <f>IF(ISERROR(COUNTIF($D27:$Y27,1)/(COUNTIF($D27:$Y27,1)+COUNTIF($D27:$Y27,0))),"",COUNTIF($D27:$Y27,1)/(COUNTIF($D27:$Y27,1)+COUNTIF($D27:$Y27,0))*General!$D$7*10)</f>
        <v/>
      </c>
      <c r="BE27" s="129" t="str">
        <f>IFERROR(AVERAGE($Z27:$AQ27) * General!$E$7, "")</f>
        <v/>
      </c>
      <c r="BF27" s="130" t="str">
        <f>IFERROR(AVERAGE($AR27:$BA27) * General!$F$7, "")</f>
        <v/>
      </c>
      <c r="BG27" s="131" t="str">
        <f>IFERROR(AVERAGE($BB27) * General!$G$7, "")</f>
        <v/>
      </c>
      <c r="BH27" s="132" t="str">
        <f>IFERROR(AVERAGE($BC27) * General!$H$7, "")</f>
        <v/>
      </c>
      <c r="BI27" s="157">
        <f t="shared" si="0"/>
        <v>0</v>
      </c>
      <c r="BJ27" s="162" t="str">
        <f t="shared" si="1"/>
        <v/>
      </c>
    </row>
    <row r="28" spans="1:62" ht="15.75" thickBot="1">
      <c r="A28" s="26">
        <f>IF(General!A29="","",General!A29)</f>
        <v>20</v>
      </c>
      <c r="B28" s="26" t="str">
        <f>IF(General!B29="","",General!B29)</f>
        <v/>
      </c>
      <c r="C28" s="26" t="str">
        <f>IF(General!C29="","",General!C29)</f>
        <v/>
      </c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110"/>
      <c r="W28" s="116"/>
      <c r="X28" s="100"/>
      <c r="Y28" s="101"/>
      <c r="Z28" s="60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2"/>
      <c r="AR28" s="63"/>
      <c r="AS28" s="64"/>
      <c r="AT28" s="64"/>
      <c r="AU28" s="64"/>
      <c r="AV28" s="64"/>
      <c r="AW28" s="64"/>
      <c r="AX28" s="64"/>
      <c r="AY28" s="64"/>
      <c r="AZ28" s="64"/>
      <c r="BA28" s="65"/>
      <c r="BB28" s="66"/>
      <c r="BC28" s="67"/>
      <c r="BD28" s="133" t="str">
        <f>IF(ISERROR(COUNTIF($D28:$Y28,1)/(COUNTIF($D28:$Y28,1)+COUNTIF($D28:$Y28,0))),"",COUNTIF($D28:$Y28,1)/(COUNTIF($D28:$Y28,1)+COUNTIF($D28:$Y28,0))*General!$D$7*10)</f>
        <v/>
      </c>
      <c r="BE28" s="134" t="str">
        <f>IFERROR(AVERAGE($Z28:$AQ28) * General!$E$7, "")</f>
        <v/>
      </c>
      <c r="BF28" s="135" t="str">
        <f>IFERROR(AVERAGE($AR28:$BA28) * General!$F$7, "")</f>
        <v/>
      </c>
      <c r="BG28" s="136" t="str">
        <f>IFERROR(AVERAGE($BB28) * General!$G$7, "")</f>
        <v/>
      </c>
      <c r="BH28" s="137" t="str">
        <f>IFERROR(AVERAGE($BC28) * General!$H$7, "")</f>
        <v/>
      </c>
      <c r="BI28" s="158">
        <f t="shared" si="0"/>
        <v>0</v>
      </c>
      <c r="BJ28" s="164" t="str">
        <f t="shared" si="1"/>
        <v/>
      </c>
    </row>
    <row r="29" spans="1:62" ht="15.75" thickTop="1">
      <c r="A29" s="121">
        <f>IF(General!A30="","",General!A30)</f>
        <v>21</v>
      </c>
      <c r="B29" s="121" t="str">
        <f>IF(General!B30="","",General!B30)</f>
        <v/>
      </c>
      <c r="C29" s="121" t="str">
        <f>IF(General!C30="","",General!C30)</f>
        <v/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111"/>
      <c r="W29" s="117"/>
      <c r="X29" s="102"/>
      <c r="Y29" s="103"/>
      <c r="Z29" s="70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2"/>
      <c r="AR29" s="73"/>
      <c r="AS29" s="74"/>
      <c r="AT29" s="74"/>
      <c r="AU29" s="74"/>
      <c r="AV29" s="74"/>
      <c r="AW29" s="74"/>
      <c r="AX29" s="74"/>
      <c r="AY29" s="74"/>
      <c r="AZ29" s="74"/>
      <c r="BA29" s="75"/>
      <c r="BB29" s="76"/>
      <c r="BC29" s="47"/>
      <c r="BD29" s="123" t="str">
        <f>IF(ISERROR(COUNTIF($D29:$Y29,1)/(COUNTIF($D29:$Y29,1)+COUNTIF($D29:$Y29,0))),"",COUNTIF($D29:$Y29,1)/(COUNTIF($D29:$Y29,1)+COUNTIF($D29:$Y29,0))*General!$D$7*10)</f>
        <v/>
      </c>
      <c r="BE29" s="124" t="str">
        <f>IFERROR(AVERAGE($Z29:$AQ29) * General!$E$7, "")</f>
        <v/>
      </c>
      <c r="BF29" s="125" t="str">
        <f>IFERROR(AVERAGE($AR29:$BA29) * General!$F$7, "")</f>
        <v/>
      </c>
      <c r="BG29" s="126" t="str">
        <f>IFERROR(AVERAGE($BB29) * General!$G$7, "")</f>
        <v/>
      </c>
      <c r="BH29" s="127" t="str">
        <f>IFERROR(AVERAGE($BC29) * General!$H$7, "")</f>
        <v/>
      </c>
      <c r="BI29" s="156">
        <f t="shared" si="0"/>
        <v>0</v>
      </c>
      <c r="BJ29" s="161" t="str">
        <f t="shared" si="1"/>
        <v/>
      </c>
    </row>
    <row r="30" spans="1:62" ht="15">
      <c r="A30" s="23">
        <f>IF(General!A31="","",General!A31)</f>
        <v>22</v>
      </c>
      <c r="B30" s="23" t="str">
        <f>IF(General!B31="","",General!B31)</f>
        <v/>
      </c>
      <c r="C30" s="23" t="str">
        <f>IF(General!C31="","",General!C31)</f>
        <v/>
      </c>
      <c r="D30" s="4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109"/>
      <c r="W30" s="115"/>
      <c r="X30" s="98"/>
      <c r="Y30" s="99"/>
      <c r="Z30" s="50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2"/>
      <c r="AR30" s="53"/>
      <c r="AS30" s="54"/>
      <c r="AT30" s="54"/>
      <c r="AU30" s="54"/>
      <c r="AV30" s="54"/>
      <c r="AW30" s="54"/>
      <c r="AX30" s="54"/>
      <c r="AY30" s="54"/>
      <c r="AZ30" s="54"/>
      <c r="BA30" s="55"/>
      <c r="BB30" s="56"/>
      <c r="BC30" s="57"/>
      <c r="BD30" s="128" t="str">
        <f>IF(ISERROR(COUNTIF($D30:$Y30,1)/(COUNTIF($D30:$Y30,1)+COUNTIF($D30:$Y30,0))),"",COUNTIF($D30:$Y30,1)/(COUNTIF($D30:$Y30,1)+COUNTIF($D30:$Y30,0))*General!$D$7*10)</f>
        <v/>
      </c>
      <c r="BE30" s="129" t="str">
        <f>IFERROR(AVERAGE($Z30:$AQ30) * General!$E$7, "")</f>
        <v/>
      </c>
      <c r="BF30" s="130" t="str">
        <f>IFERROR(AVERAGE($AR30:$BA30) * General!$F$7, "")</f>
        <v/>
      </c>
      <c r="BG30" s="131" t="str">
        <f>IFERROR(AVERAGE($BB30) * General!$G$7, "")</f>
        <v/>
      </c>
      <c r="BH30" s="132" t="str">
        <f>IFERROR(AVERAGE($BC30) * General!$H$7, "")</f>
        <v/>
      </c>
      <c r="BI30" s="157">
        <f t="shared" si="0"/>
        <v>0</v>
      </c>
      <c r="BJ30" s="162" t="str">
        <f t="shared" si="1"/>
        <v/>
      </c>
    </row>
    <row r="31" spans="1:62" ht="15">
      <c r="A31" s="23">
        <f>IF(General!A32="","",General!A32)</f>
        <v>23</v>
      </c>
      <c r="B31" s="23" t="str">
        <f>IF(General!B32="","",General!B32)</f>
        <v/>
      </c>
      <c r="C31" s="23" t="str">
        <f>IF(General!C32="","",General!C32)</f>
        <v/>
      </c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109"/>
      <c r="W31" s="115"/>
      <c r="X31" s="98"/>
      <c r="Y31" s="99"/>
      <c r="Z31" s="50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2"/>
      <c r="AR31" s="53"/>
      <c r="AS31" s="54"/>
      <c r="AT31" s="54"/>
      <c r="AU31" s="54"/>
      <c r="AV31" s="54"/>
      <c r="AW31" s="54"/>
      <c r="AX31" s="54"/>
      <c r="AY31" s="54"/>
      <c r="AZ31" s="54"/>
      <c r="BA31" s="55"/>
      <c r="BB31" s="56"/>
      <c r="BC31" s="57"/>
      <c r="BD31" s="128" t="str">
        <f>IF(ISERROR(COUNTIF($D31:$Y31,1)/(COUNTIF($D31:$Y31,1)+COUNTIF($D31:$Y31,0))),"",COUNTIF($D31:$Y31,1)/(COUNTIF($D31:$Y31,1)+COUNTIF($D31:$Y31,0))*General!$D$7*10)</f>
        <v/>
      </c>
      <c r="BE31" s="129" t="str">
        <f>IFERROR(AVERAGE($Z31:$AQ31) * General!$E$7, "")</f>
        <v/>
      </c>
      <c r="BF31" s="130" t="str">
        <f>IFERROR(AVERAGE($AR31:$BA31) * General!$F$7, "")</f>
        <v/>
      </c>
      <c r="BG31" s="131" t="str">
        <f>IFERROR(AVERAGE($BB31) * General!$G$7, "")</f>
        <v/>
      </c>
      <c r="BH31" s="132" t="str">
        <f>IFERROR(AVERAGE($BC31) * General!$H$7, "")</f>
        <v/>
      </c>
      <c r="BI31" s="157">
        <f t="shared" si="0"/>
        <v>0</v>
      </c>
      <c r="BJ31" s="162" t="str">
        <f t="shared" si="1"/>
        <v/>
      </c>
    </row>
    <row r="32" spans="1:62" ht="15">
      <c r="A32" s="23">
        <f>IF(General!A33="","",General!A33)</f>
        <v>24</v>
      </c>
      <c r="B32" s="23" t="str">
        <f>IF(General!B33="","",General!B33)</f>
        <v/>
      </c>
      <c r="C32" s="23" t="str">
        <f>IF(General!C33="","",General!C33)</f>
        <v/>
      </c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109"/>
      <c r="W32" s="115"/>
      <c r="X32" s="98"/>
      <c r="Y32" s="99"/>
      <c r="Z32" s="50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2"/>
      <c r="AR32" s="53"/>
      <c r="AS32" s="54"/>
      <c r="AT32" s="54"/>
      <c r="AU32" s="54"/>
      <c r="AV32" s="54"/>
      <c r="AW32" s="54"/>
      <c r="AX32" s="54"/>
      <c r="AY32" s="54"/>
      <c r="AZ32" s="54"/>
      <c r="BA32" s="55"/>
      <c r="BB32" s="56"/>
      <c r="BC32" s="57"/>
      <c r="BD32" s="128" t="str">
        <f>IF(ISERROR(COUNTIF($D32:$Y32,1)/(COUNTIF($D32:$Y32,1)+COUNTIF($D32:$Y32,0))),"",COUNTIF($D32:$Y32,1)/(COUNTIF($D32:$Y32,1)+COUNTIF($D32:$Y32,0))*General!$D$7*10)</f>
        <v/>
      </c>
      <c r="BE32" s="129" t="str">
        <f>IFERROR(AVERAGE($Z32:$AQ32) * General!$E$7, "")</f>
        <v/>
      </c>
      <c r="BF32" s="130" t="str">
        <f>IFERROR(AVERAGE($AR32:$BA32) * General!$F$7, "")</f>
        <v/>
      </c>
      <c r="BG32" s="131" t="str">
        <f>IFERROR(AVERAGE($BB32) * General!$G$7, "")</f>
        <v/>
      </c>
      <c r="BH32" s="132" t="str">
        <f>IFERROR(AVERAGE($BC32) * General!$H$7, "")</f>
        <v/>
      </c>
      <c r="BI32" s="157">
        <f t="shared" si="0"/>
        <v>0</v>
      </c>
      <c r="BJ32" s="162" t="str">
        <f t="shared" si="1"/>
        <v/>
      </c>
    </row>
    <row r="33" spans="1:62" ht="15.75" thickBot="1">
      <c r="A33" s="26">
        <f>IF(General!A34="","",General!A34)</f>
        <v>25</v>
      </c>
      <c r="B33" s="26" t="str">
        <f>IF(General!B34="","",General!B34)</f>
        <v/>
      </c>
      <c r="C33" s="26" t="str">
        <f>IF(General!C34="","",General!C34)</f>
        <v/>
      </c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110"/>
      <c r="W33" s="116"/>
      <c r="X33" s="100"/>
      <c r="Y33" s="101"/>
      <c r="Z33" s="60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2"/>
      <c r="AR33" s="63"/>
      <c r="AS33" s="64"/>
      <c r="AT33" s="64"/>
      <c r="AU33" s="64"/>
      <c r="AV33" s="64"/>
      <c r="AW33" s="64"/>
      <c r="AX33" s="64"/>
      <c r="AY33" s="64"/>
      <c r="AZ33" s="64"/>
      <c r="BA33" s="65"/>
      <c r="BB33" s="66"/>
      <c r="BC33" s="67"/>
      <c r="BD33" s="133" t="str">
        <f>IF(ISERROR(COUNTIF($D33:$Y33,1)/(COUNTIF($D33:$Y33,1)+COUNTIF($D33:$Y33,0))),"",COUNTIF($D33:$Y33,1)/(COUNTIF($D33:$Y33,1)+COUNTIF($D33:$Y33,0))*General!$D$7*10)</f>
        <v/>
      </c>
      <c r="BE33" s="134" t="str">
        <f>IFERROR(AVERAGE($Z33:$AQ33) * General!$E$7, "")</f>
        <v/>
      </c>
      <c r="BF33" s="135" t="str">
        <f>IFERROR(AVERAGE($AR33:$BA33) * General!$F$7, "")</f>
        <v/>
      </c>
      <c r="BG33" s="136" t="str">
        <f>IFERROR(AVERAGE($BB33) * General!$G$7, "")</f>
        <v/>
      </c>
      <c r="BH33" s="137" t="str">
        <f>IFERROR(AVERAGE($BC33) * General!$H$7, "")</f>
        <v/>
      </c>
      <c r="BI33" s="158">
        <f t="shared" si="0"/>
        <v>0</v>
      </c>
      <c r="BJ33" s="164" t="str">
        <f t="shared" si="1"/>
        <v/>
      </c>
    </row>
    <row r="34" spans="1:62" ht="15.75" thickTop="1">
      <c r="A34" s="121">
        <f>IF(General!A35="","",General!A35)</f>
        <v>26</v>
      </c>
      <c r="B34" s="121" t="str">
        <f>IF(General!B35="","",General!B35)</f>
        <v/>
      </c>
      <c r="C34" s="121" t="str">
        <f>IF(General!C35="","",General!C35)</f>
        <v/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111"/>
      <c r="W34" s="117"/>
      <c r="X34" s="102"/>
      <c r="Y34" s="103"/>
      <c r="Z34" s="70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2"/>
      <c r="AR34" s="73"/>
      <c r="AS34" s="74"/>
      <c r="AT34" s="74"/>
      <c r="AU34" s="74"/>
      <c r="AV34" s="74"/>
      <c r="AW34" s="74"/>
      <c r="AX34" s="74"/>
      <c r="AY34" s="74"/>
      <c r="AZ34" s="74"/>
      <c r="BA34" s="75"/>
      <c r="BB34" s="76"/>
      <c r="BC34" s="47"/>
      <c r="BD34" s="123" t="str">
        <f>IF(ISERROR(COUNTIF($D34:$Y34,1)/(COUNTIF($D34:$Y34,1)+COUNTIF($D34:$Y34,0))),"",COUNTIF($D34:$Y34,1)/(COUNTIF($D34:$Y34,1)+COUNTIF($D34:$Y34,0))*General!$D$7*10)</f>
        <v/>
      </c>
      <c r="BE34" s="124" t="str">
        <f>IFERROR(AVERAGE($Z34:$AQ34) * General!$E$7, "")</f>
        <v/>
      </c>
      <c r="BF34" s="125" t="str">
        <f>IFERROR(AVERAGE($AR34:$BA34) * General!$F$7, "")</f>
        <v/>
      </c>
      <c r="BG34" s="126" t="str">
        <f>IFERROR(AVERAGE($BB34) * General!$G$7, "")</f>
        <v/>
      </c>
      <c r="BH34" s="127" t="str">
        <f>IFERROR(AVERAGE($BC34) * General!$H$7, "")</f>
        <v/>
      </c>
      <c r="BI34" s="156">
        <f t="shared" si="0"/>
        <v>0</v>
      </c>
      <c r="BJ34" s="161" t="str">
        <f t="shared" si="1"/>
        <v/>
      </c>
    </row>
    <row r="35" spans="1:62" ht="15">
      <c r="A35" s="23">
        <f>IF(General!A36="","",General!A36)</f>
        <v>27</v>
      </c>
      <c r="B35" s="23" t="str">
        <f>IF(General!B36="","",General!B36)</f>
        <v/>
      </c>
      <c r="C35" s="23" t="str">
        <f>IF(General!C36="","",General!C36)</f>
        <v/>
      </c>
      <c r="D35" s="48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109"/>
      <c r="W35" s="115"/>
      <c r="X35" s="98"/>
      <c r="Y35" s="99"/>
      <c r="Z35" s="50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2"/>
      <c r="AR35" s="53"/>
      <c r="AS35" s="54"/>
      <c r="AT35" s="54"/>
      <c r="AU35" s="54"/>
      <c r="AV35" s="54"/>
      <c r="AW35" s="54"/>
      <c r="AX35" s="54"/>
      <c r="AY35" s="54"/>
      <c r="AZ35" s="54"/>
      <c r="BA35" s="55"/>
      <c r="BB35" s="56"/>
      <c r="BC35" s="57"/>
      <c r="BD35" s="128" t="str">
        <f>IF(ISERROR(COUNTIF($D35:$Y35,1)/(COUNTIF($D35:$Y35,1)+COUNTIF($D35:$Y35,0))),"",COUNTIF($D35:$Y35,1)/(COUNTIF($D35:$Y35,1)+COUNTIF($D35:$Y35,0))*General!$D$7*10)</f>
        <v/>
      </c>
      <c r="BE35" s="129" t="str">
        <f>IFERROR(AVERAGE($Z35:$AQ35) * General!$E$7, "")</f>
        <v/>
      </c>
      <c r="BF35" s="130" t="str">
        <f>IFERROR(AVERAGE($AR35:$BA35) * General!$F$7, "")</f>
        <v/>
      </c>
      <c r="BG35" s="131" t="str">
        <f>IFERROR(AVERAGE($BB35) * General!$G$7, "")</f>
        <v/>
      </c>
      <c r="BH35" s="132" t="str">
        <f>IFERROR(AVERAGE($BC35) * General!$H$7, "")</f>
        <v/>
      </c>
      <c r="BI35" s="157">
        <f t="shared" si="0"/>
        <v>0</v>
      </c>
      <c r="BJ35" s="162" t="str">
        <f t="shared" si="1"/>
        <v/>
      </c>
    </row>
    <row r="36" spans="1:62" ht="15">
      <c r="A36" s="23">
        <f>IF(General!A37="","",General!A37)</f>
        <v>28</v>
      </c>
      <c r="B36" s="23" t="str">
        <f>IF(General!B37="","",General!B37)</f>
        <v/>
      </c>
      <c r="C36" s="23" t="str">
        <f>IF(General!C37="","",General!C37)</f>
        <v/>
      </c>
      <c r="D36" s="48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109"/>
      <c r="W36" s="115"/>
      <c r="X36" s="98"/>
      <c r="Y36" s="99"/>
      <c r="Z36" s="5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2"/>
      <c r="AR36" s="53"/>
      <c r="AS36" s="54"/>
      <c r="AT36" s="54"/>
      <c r="AU36" s="54"/>
      <c r="AV36" s="54"/>
      <c r="AW36" s="54"/>
      <c r="AX36" s="54"/>
      <c r="AY36" s="54"/>
      <c r="AZ36" s="54"/>
      <c r="BA36" s="55"/>
      <c r="BB36" s="56"/>
      <c r="BC36" s="57"/>
      <c r="BD36" s="128" t="str">
        <f>IF(ISERROR(COUNTIF($D36:$Y36,1)/(COUNTIF($D36:$Y36,1)+COUNTIF($D36:$Y36,0))),"",COUNTIF($D36:$Y36,1)/(COUNTIF($D36:$Y36,1)+COUNTIF($D36:$Y36,0))*General!$D$7*10)</f>
        <v/>
      </c>
      <c r="BE36" s="129" t="str">
        <f>IFERROR(AVERAGE($Z36:$AQ36) * General!$E$7, "")</f>
        <v/>
      </c>
      <c r="BF36" s="130" t="str">
        <f>IFERROR(AVERAGE($AR36:$BA36) * General!$F$7, "")</f>
        <v/>
      </c>
      <c r="BG36" s="131" t="str">
        <f>IFERROR(AVERAGE($BB36) * General!$G$7, "")</f>
        <v/>
      </c>
      <c r="BH36" s="132" t="str">
        <f>IFERROR(AVERAGE($BC36) * General!$H$7, "")</f>
        <v/>
      </c>
      <c r="BI36" s="157">
        <f t="shared" si="0"/>
        <v>0</v>
      </c>
      <c r="BJ36" s="162" t="str">
        <f t="shared" si="1"/>
        <v/>
      </c>
    </row>
    <row r="37" spans="1:62" ht="15">
      <c r="A37" s="23">
        <f>IF(General!A38="","",General!A38)</f>
        <v>29</v>
      </c>
      <c r="B37" s="23" t="str">
        <f>IF(General!B38="","",General!B38)</f>
        <v/>
      </c>
      <c r="C37" s="23" t="str">
        <f>IF(General!C38="","",General!C38)</f>
        <v/>
      </c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09"/>
      <c r="W37" s="115"/>
      <c r="X37" s="98"/>
      <c r="Y37" s="99"/>
      <c r="Z37" s="50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2"/>
      <c r="AR37" s="53"/>
      <c r="AS37" s="54"/>
      <c r="AT37" s="54"/>
      <c r="AU37" s="54"/>
      <c r="AV37" s="54"/>
      <c r="AW37" s="54"/>
      <c r="AX37" s="54"/>
      <c r="AY37" s="54"/>
      <c r="AZ37" s="54"/>
      <c r="BA37" s="55"/>
      <c r="BB37" s="56"/>
      <c r="BC37" s="57"/>
      <c r="BD37" s="128" t="str">
        <f>IF(ISERROR(COUNTIF($D37:$Y37,1)/(COUNTIF($D37:$Y37,1)+COUNTIF($D37:$Y37,0))),"",COUNTIF($D37:$Y37,1)/(COUNTIF($D37:$Y37,1)+COUNTIF($D37:$Y37,0))*General!$D$7*10)</f>
        <v/>
      </c>
      <c r="BE37" s="129" t="str">
        <f>IFERROR(AVERAGE($Z37:$AQ37) * General!$E$7, "")</f>
        <v/>
      </c>
      <c r="BF37" s="130" t="str">
        <f>IFERROR(AVERAGE($AR37:$BA37) * General!$F$7, "")</f>
        <v/>
      </c>
      <c r="BG37" s="131" t="str">
        <f>IFERROR(AVERAGE($BB37) * General!$G$7, "")</f>
        <v/>
      </c>
      <c r="BH37" s="132" t="str">
        <f>IFERROR(AVERAGE($BC37) * General!$H$7, "")</f>
        <v/>
      </c>
      <c r="BI37" s="157">
        <f t="shared" si="0"/>
        <v>0</v>
      </c>
      <c r="BJ37" s="162" t="str">
        <f t="shared" si="1"/>
        <v/>
      </c>
    </row>
    <row r="38" spans="1:62" ht="15.75" thickBot="1">
      <c r="A38" s="26">
        <f>IF(General!A39="","",General!A39)</f>
        <v>30</v>
      </c>
      <c r="B38" s="26" t="str">
        <f>IF(General!B39="","",General!B39)</f>
        <v/>
      </c>
      <c r="C38" s="26" t="str">
        <f>IF(General!C39="","",General!C39)</f>
        <v/>
      </c>
      <c r="D38" s="58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110"/>
      <c r="W38" s="116"/>
      <c r="X38" s="100"/>
      <c r="Y38" s="101"/>
      <c r="Z38" s="60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63"/>
      <c r="AS38" s="64"/>
      <c r="AT38" s="64"/>
      <c r="AU38" s="64"/>
      <c r="AV38" s="64"/>
      <c r="AW38" s="64"/>
      <c r="AX38" s="64"/>
      <c r="AY38" s="64"/>
      <c r="AZ38" s="64"/>
      <c r="BA38" s="65"/>
      <c r="BB38" s="66"/>
      <c r="BC38" s="67"/>
      <c r="BD38" s="133" t="str">
        <f>IF(ISERROR(COUNTIF($D38:$Y38,1)/(COUNTIF($D38:$Y38,1)+COUNTIF($D38:$Y38,0))),"",COUNTIF($D38:$Y38,1)/(COUNTIF($D38:$Y38,1)+COUNTIF($D38:$Y38,0))*General!$D$7*10)</f>
        <v/>
      </c>
      <c r="BE38" s="134" t="str">
        <f>IFERROR(AVERAGE($Z38:$AQ38) * General!$E$7, "")</f>
        <v/>
      </c>
      <c r="BF38" s="135" t="str">
        <f>IFERROR(AVERAGE($AR38:$BA38) * General!$F$7, "")</f>
        <v/>
      </c>
      <c r="BG38" s="136" t="str">
        <f>IFERROR(AVERAGE($BB38) * General!$G$7, "")</f>
        <v/>
      </c>
      <c r="BH38" s="137" t="str">
        <f>IFERROR(AVERAGE($BC38) * General!$H$7, "")</f>
        <v/>
      </c>
      <c r="BI38" s="158">
        <f t="shared" si="0"/>
        <v>0</v>
      </c>
      <c r="BJ38" s="164" t="str">
        <f t="shared" si="1"/>
        <v/>
      </c>
    </row>
    <row r="39" spans="1:62" ht="15.75" thickTop="1">
      <c r="A39" s="121">
        <f>IF(General!A40="","",General!A40)</f>
        <v>31</v>
      </c>
      <c r="B39" s="121" t="str">
        <f>IF(General!B40="","",General!B40)</f>
        <v/>
      </c>
      <c r="C39" s="121" t="str">
        <f>IF(General!C40="","",General!C40)</f>
        <v/>
      </c>
      <c r="D39" s="68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111"/>
      <c r="W39" s="117"/>
      <c r="X39" s="102"/>
      <c r="Y39" s="103"/>
      <c r="Z39" s="70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2"/>
      <c r="AR39" s="73"/>
      <c r="AS39" s="74"/>
      <c r="AT39" s="74"/>
      <c r="AU39" s="74"/>
      <c r="AV39" s="74"/>
      <c r="AW39" s="74"/>
      <c r="AX39" s="74"/>
      <c r="AY39" s="74"/>
      <c r="AZ39" s="74"/>
      <c r="BA39" s="75"/>
      <c r="BB39" s="76"/>
      <c r="BC39" s="47"/>
      <c r="BD39" s="123" t="str">
        <f>IF(ISERROR(COUNTIF($D39:$Y39,1)/(COUNTIF($D39:$Y39,1)+COUNTIF($D39:$Y39,0))),"",COUNTIF($D39:$Y39,1)/(COUNTIF($D39:$Y39,1)+COUNTIF($D39:$Y39,0))*General!$D$7*10)</f>
        <v/>
      </c>
      <c r="BE39" s="124" t="str">
        <f>IFERROR(AVERAGE($Z39:$AQ39) * General!$E$7, "")</f>
        <v/>
      </c>
      <c r="BF39" s="125" t="str">
        <f>IFERROR(AVERAGE($AR39:$BA39) * General!$F$7, "")</f>
        <v/>
      </c>
      <c r="BG39" s="126" t="str">
        <f>IFERROR(AVERAGE($BB39) * General!$G$7, "")</f>
        <v/>
      </c>
      <c r="BH39" s="127" t="str">
        <f>IFERROR(AVERAGE($BC39) * General!$H$7, "")</f>
        <v/>
      </c>
      <c r="BI39" s="156">
        <f t="shared" si="0"/>
        <v>0</v>
      </c>
      <c r="BJ39" s="161" t="str">
        <f t="shared" si="1"/>
        <v/>
      </c>
    </row>
    <row r="40" spans="1:62" ht="15">
      <c r="A40" s="23">
        <f>IF(General!A41="","",General!A41)</f>
        <v>32</v>
      </c>
      <c r="B40" s="23" t="str">
        <f>IF(General!B41="","",General!B41)</f>
        <v/>
      </c>
      <c r="C40" s="23" t="str">
        <f>IF(General!C41="","",General!C41)</f>
        <v/>
      </c>
      <c r="D40" s="48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109"/>
      <c r="W40" s="115"/>
      <c r="X40" s="98"/>
      <c r="Y40" s="99"/>
      <c r="Z40" s="50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2"/>
      <c r="AR40" s="53"/>
      <c r="AS40" s="54"/>
      <c r="AT40" s="54"/>
      <c r="AU40" s="54"/>
      <c r="AV40" s="54"/>
      <c r="AW40" s="54"/>
      <c r="AX40" s="54"/>
      <c r="AY40" s="54"/>
      <c r="AZ40" s="54"/>
      <c r="BA40" s="55"/>
      <c r="BB40" s="56"/>
      <c r="BC40" s="57"/>
      <c r="BD40" s="128" t="str">
        <f>IF(ISERROR(COUNTIF($D40:$Y40,1)/(COUNTIF($D40:$Y40,1)+COUNTIF($D40:$Y40,0))),"",COUNTIF($D40:$Y40,1)/(COUNTIF($D40:$Y40,1)+COUNTIF($D40:$Y40,0))*General!$D$7*10)</f>
        <v/>
      </c>
      <c r="BE40" s="129" t="str">
        <f>IFERROR(AVERAGE($Z40:$AQ40) * General!$E$7, "")</f>
        <v/>
      </c>
      <c r="BF40" s="130" t="str">
        <f>IFERROR(AVERAGE($AR40:$BA40) * General!$F$7, "")</f>
        <v/>
      </c>
      <c r="BG40" s="131" t="str">
        <f>IFERROR(AVERAGE($BB40) * General!$G$7, "")</f>
        <v/>
      </c>
      <c r="BH40" s="132" t="str">
        <f>IFERROR(AVERAGE($BC40) * General!$H$7, "")</f>
        <v/>
      </c>
      <c r="BI40" s="157">
        <f t="shared" si="0"/>
        <v>0</v>
      </c>
      <c r="BJ40" s="162" t="str">
        <f t="shared" si="1"/>
        <v/>
      </c>
    </row>
    <row r="41" spans="1:62" ht="15">
      <c r="A41" s="23">
        <f>IF(General!A42="","",General!A42)</f>
        <v>33</v>
      </c>
      <c r="B41" s="23" t="str">
        <f>IF(General!B42="","",General!B42)</f>
        <v/>
      </c>
      <c r="C41" s="23" t="str">
        <f>IF(General!C42="","",General!C42)</f>
        <v/>
      </c>
      <c r="D41" s="48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109"/>
      <c r="W41" s="115"/>
      <c r="X41" s="98"/>
      <c r="Y41" s="99"/>
      <c r="Z41" s="50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2"/>
      <c r="AR41" s="53"/>
      <c r="AS41" s="54"/>
      <c r="AT41" s="54"/>
      <c r="AU41" s="54"/>
      <c r="AV41" s="54"/>
      <c r="AW41" s="54"/>
      <c r="AX41" s="54"/>
      <c r="AY41" s="54"/>
      <c r="AZ41" s="54"/>
      <c r="BA41" s="55"/>
      <c r="BB41" s="56"/>
      <c r="BC41" s="57"/>
      <c r="BD41" s="128" t="str">
        <f>IF(ISERROR(COUNTIF($D41:$Y41,1)/(COUNTIF($D41:$Y41,1)+COUNTIF($D41:$Y41,0))),"",COUNTIF($D41:$Y41,1)/(COUNTIF($D41:$Y41,1)+COUNTIF($D41:$Y41,0))*General!$D$7*10)</f>
        <v/>
      </c>
      <c r="BE41" s="129" t="str">
        <f>IFERROR(AVERAGE($Z41:$AQ41) * General!$E$7, "")</f>
        <v/>
      </c>
      <c r="BF41" s="130" t="str">
        <f>IFERROR(AVERAGE($AR41:$BA41) * General!$F$7, "")</f>
        <v/>
      </c>
      <c r="BG41" s="131" t="str">
        <f>IFERROR(AVERAGE($BB41) * General!$G$7, "")</f>
        <v/>
      </c>
      <c r="BH41" s="132" t="str">
        <f>IFERROR(AVERAGE($BC41) * General!$H$7, "")</f>
        <v/>
      </c>
      <c r="BI41" s="157">
        <f t="shared" si="0"/>
        <v>0</v>
      </c>
      <c r="BJ41" s="162" t="str">
        <f t="shared" si="1"/>
        <v/>
      </c>
    </row>
    <row r="42" spans="1:62" ht="15">
      <c r="A42" s="23">
        <f>IF(General!A43="","",General!A43)</f>
        <v>34</v>
      </c>
      <c r="B42" s="23" t="str">
        <f>IF(General!B43="","",General!B43)</f>
        <v/>
      </c>
      <c r="C42" s="23" t="str">
        <f>IF(General!C43="","",General!C43)</f>
        <v/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109"/>
      <c r="W42" s="115"/>
      <c r="X42" s="98"/>
      <c r="Y42" s="99"/>
      <c r="Z42" s="50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2"/>
      <c r="AR42" s="53"/>
      <c r="AS42" s="54"/>
      <c r="AT42" s="54"/>
      <c r="AU42" s="54"/>
      <c r="AV42" s="54"/>
      <c r="AW42" s="54"/>
      <c r="AX42" s="54"/>
      <c r="AY42" s="54"/>
      <c r="AZ42" s="54"/>
      <c r="BA42" s="55"/>
      <c r="BB42" s="56"/>
      <c r="BC42" s="57"/>
      <c r="BD42" s="128" t="str">
        <f>IF(ISERROR(COUNTIF($D42:$Y42,1)/(COUNTIF($D42:$Y42,1)+COUNTIF($D42:$Y42,0))),"",COUNTIF($D42:$Y42,1)/(COUNTIF($D42:$Y42,1)+COUNTIF($D42:$Y42,0))*General!$D$7*10)</f>
        <v/>
      </c>
      <c r="BE42" s="129" t="str">
        <f>IFERROR(AVERAGE($Z42:$AQ42) * General!$E$7, "")</f>
        <v/>
      </c>
      <c r="BF42" s="130" t="str">
        <f>IFERROR(AVERAGE($AR42:$BA42) * General!$F$7, "")</f>
        <v/>
      </c>
      <c r="BG42" s="131" t="str">
        <f>IFERROR(AVERAGE($BB42) * General!$G$7, "")</f>
        <v/>
      </c>
      <c r="BH42" s="132" t="str">
        <f>IFERROR(AVERAGE($BC42) * General!$H$7, "")</f>
        <v/>
      </c>
      <c r="BI42" s="157">
        <f t="shared" si="0"/>
        <v>0</v>
      </c>
      <c r="BJ42" s="162" t="str">
        <f t="shared" si="1"/>
        <v/>
      </c>
    </row>
    <row r="43" spans="1:62" ht="15.75" thickBot="1">
      <c r="A43" s="26">
        <f>IF(General!A44="","",General!A44)</f>
        <v>35</v>
      </c>
      <c r="B43" s="26" t="str">
        <f>IF(General!B44="","",General!B44)</f>
        <v/>
      </c>
      <c r="C43" s="26" t="str">
        <f>IF(General!C44="","",General!C44)</f>
        <v/>
      </c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110"/>
      <c r="W43" s="116"/>
      <c r="X43" s="100"/>
      <c r="Y43" s="101"/>
      <c r="Z43" s="60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2"/>
      <c r="AR43" s="63"/>
      <c r="AS43" s="64"/>
      <c r="AT43" s="64"/>
      <c r="AU43" s="64"/>
      <c r="AV43" s="64"/>
      <c r="AW43" s="64"/>
      <c r="AX43" s="64"/>
      <c r="AY43" s="64"/>
      <c r="AZ43" s="64"/>
      <c r="BA43" s="65"/>
      <c r="BB43" s="66"/>
      <c r="BC43" s="67"/>
      <c r="BD43" s="133" t="str">
        <f>IF(ISERROR(COUNTIF($D43:$Y43,1)/(COUNTIF($D43:$Y43,1)+COUNTIF($D43:$Y43,0))),"",COUNTIF($D43:$Y43,1)/(COUNTIF($D43:$Y43,1)+COUNTIF($D43:$Y43,0))*General!$D$7*10)</f>
        <v/>
      </c>
      <c r="BE43" s="134" t="str">
        <f>IFERROR(AVERAGE($Z43:$AQ43) * General!$E$7, "")</f>
        <v/>
      </c>
      <c r="BF43" s="135" t="str">
        <f>IFERROR(AVERAGE($AR43:$BA43) * General!$F$7, "")</f>
        <v/>
      </c>
      <c r="BG43" s="136" t="str">
        <f>IFERROR(AVERAGE($BB43) * General!$G$7, "")</f>
        <v/>
      </c>
      <c r="BH43" s="137" t="str">
        <f>IFERROR(AVERAGE($BC43) * General!$H$7, "")</f>
        <v/>
      </c>
      <c r="BI43" s="158">
        <f t="shared" si="0"/>
        <v>0</v>
      </c>
      <c r="BJ43" s="164" t="str">
        <f t="shared" si="1"/>
        <v/>
      </c>
    </row>
    <row r="44" spans="1:62" ht="15.75" thickTop="1">
      <c r="A44" s="121">
        <f>IF(General!A45="","",General!A45)</f>
        <v>36</v>
      </c>
      <c r="B44" s="121" t="str">
        <f>IF(General!B45="","",General!B45)</f>
        <v/>
      </c>
      <c r="C44" s="121" t="str">
        <f>IF(General!C45="","",General!C45)</f>
        <v/>
      </c>
      <c r="D44" s="68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111"/>
      <c r="W44" s="117"/>
      <c r="X44" s="102"/>
      <c r="Y44" s="103"/>
      <c r="Z44" s="70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2"/>
      <c r="AR44" s="73"/>
      <c r="AS44" s="74"/>
      <c r="AT44" s="74"/>
      <c r="AU44" s="74"/>
      <c r="AV44" s="74"/>
      <c r="AW44" s="74"/>
      <c r="AX44" s="74"/>
      <c r="AY44" s="74"/>
      <c r="AZ44" s="74"/>
      <c r="BA44" s="75"/>
      <c r="BB44" s="76"/>
      <c r="BC44" s="47"/>
      <c r="BD44" s="123" t="str">
        <f>IF(ISERROR(COUNTIF($D44:$Y44,1)/(COUNTIF($D44:$Y44,1)+COUNTIF($D44:$Y44,0))),"",COUNTIF($D44:$Y44,1)/(COUNTIF($D44:$Y44,1)+COUNTIF($D44:$Y44,0))*General!$D$7*10)</f>
        <v/>
      </c>
      <c r="BE44" s="124" t="str">
        <f>IFERROR(AVERAGE($Z44:$AQ44) * General!$E$7, "")</f>
        <v/>
      </c>
      <c r="BF44" s="125" t="str">
        <f>IFERROR(AVERAGE($AR44:$BA44) * General!$F$7, "")</f>
        <v/>
      </c>
      <c r="BG44" s="126" t="str">
        <f>IFERROR(AVERAGE($BB44) * General!$G$7, "")</f>
        <v/>
      </c>
      <c r="BH44" s="127" t="str">
        <f>IFERROR(AVERAGE($BC44) * General!$H$7, "")</f>
        <v/>
      </c>
      <c r="BI44" s="156">
        <f t="shared" si="0"/>
        <v>0</v>
      </c>
      <c r="BJ44" s="161" t="str">
        <f t="shared" si="1"/>
        <v/>
      </c>
    </row>
    <row r="45" spans="1:62" ht="15">
      <c r="A45" s="23">
        <f>IF(General!A46="","",General!A46)</f>
        <v>37</v>
      </c>
      <c r="B45" s="23" t="str">
        <f>IF(General!B46="","",General!B46)</f>
        <v/>
      </c>
      <c r="C45" s="23" t="str">
        <f>IF(General!C46="","",General!C46)</f>
        <v/>
      </c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109"/>
      <c r="W45" s="115"/>
      <c r="X45" s="98"/>
      <c r="Y45" s="99"/>
      <c r="Z45" s="50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2"/>
      <c r="AR45" s="53"/>
      <c r="AS45" s="54"/>
      <c r="AT45" s="54"/>
      <c r="AU45" s="54"/>
      <c r="AV45" s="54"/>
      <c r="AW45" s="54"/>
      <c r="AX45" s="54"/>
      <c r="AY45" s="54"/>
      <c r="AZ45" s="54"/>
      <c r="BA45" s="55"/>
      <c r="BB45" s="56"/>
      <c r="BC45" s="57"/>
      <c r="BD45" s="128" t="str">
        <f>IF(ISERROR(COUNTIF($D45:$Y45,1)/(COUNTIF($D45:$Y45,1)+COUNTIF($D45:$Y45,0))),"",COUNTIF($D45:$Y45,1)/(COUNTIF($D45:$Y45,1)+COUNTIF($D45:$Y45,0))*General!$D$7*10)</f>
        <v/>
      </c>
      <c r="BE45" s="129" t="str">
        <f>IFERROR(AVERAGE($Z45:$AQ45) * General!$E$7, "")</f>
        <v/>
      </c>
      <c r="BF45" s="130" t="str">
        <f>IFERROR(AVERAGE($AR45:$BA45) * General!$F$7, "")</f>
        <v/>
      </c>
      <c r="BG45" s="131" t="str">
        <f>IFERROR(AVERAGE($BB45) * General!$G$7, "")</f>
        <v/>
      </c>
      <c r="BH45" s="132" t="str">
        <f>IFERROR(AVERAGE($BC45) * General!$H$7, "")</f>
        <v/>
      </c>
      <c r="BI45" s="157">
        <f t="shared" si="0"/>
        <v>0</v>
      </c>
      <c r="BJ45" s="162" t="str">
        <f t="shared" si="1"/>
        <v/>
      </c>
    </row>
    <row r="46" spans="1:62" ht="15">
      <c r="A46" s="23">
        <f>IF(General!A47="","",General!A47)</f>
        <v>38</v>
      </c>
      <c r="B46" s="23" t="str">
        <f>IF(General!B47="","",General!B47)</f>
        <v/>
      </c>
      <c r="C46" s="23" t="str">
        <f>IF(General!C47="","",General!C47)</f>
        <v/>
      </c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109"/>
      <c r="W46" s="115"/>
      <c r="X46" s="98"/>
      <c r="Y46" s="99"/>
      <c r="Z46" s="50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2"/>
      <c r="AR46" s="53"/>
      <c r="AS46" s="54"/>
      <c r="AT46" s="54"/>
      <c r="AU46" s="54"/>
      <c r="AV46" s="54"/>
      <c r="AW46" s="54"/>
      <c r="AX46" s="54"/>
      <c r="AY46" s="54"/>
      <c r="AZ46" s="54"/>
      <c r="BA46" s="55"/>
      <c r="BB46" s="56"/>
      <c r="BC46" s="57"/>
      <c r="BD46" s="128" t="str">
        <f>IF(ISERROR(COUNTIF($D46:$Y46,1)/(COUNTIF($D46:$Y46,1)+COUNTIF($D46:$Y46,0))),"",COUNTIF($D46:$Y46,1)/(COUNTIF($D46:$Y46,1)+COUNTIF($D46:$Y46,0))*General!$D$7*10)</f>
        <v/>
      </c>
      <c r="BE46" s="129" t="str">
        <f>IFERROR(AVERAGE($Z46:$AQ46) * General!$E$7, "")</f>
        <v/>
      </c>
      <c r="BF46" s="130" t="str">
        <f>IFERROR(AVERAGE($AR46:$BA46) * General!$F$7, "")</f>
        <v/>
      </c>
      <c r="BG46" s="131" t="str">
        <f>IFERROR(AVERAGE($BB46) * General!$G$7, "")</f>
        <v/>
      </c>
      <c r="BH46" s="132" t="str">
        <f>IFERROR(AVERAGE($BC46) * General!$H$7, "")</f>
        <v/>
      </c>
      <c r="BI46" s="157">
        <f t="shared" si="0"/>
        <v>0</v>
      </c>
      <c r="BJ46" s="162" t="str">
        <f t="shared" si="1"/>
        <v/>
      </c>
    </row>
    <row r="47" spans="1:62" ht="15">
      <c r="A47" s="23" t="str">
        <f>IF(General!A48="","",General!A48)</f>
        <v/>
      </c>
      <c r="B47" s="23" t="str">
        <f>IF(General!B48="","",General!B48)</f>
        <v/>
      </c>
      <c r="C47" s="23" t="str">
        <f>IF(General!C48="","",General!C48)</f>
        <v/>
      </c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109"/>
      <c r="W47" s="115"/>
      <c r="X47" s="98"/>
      <c r="Y47" s="99"/>
      <c r="Z47" s="50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2"/>
      <c r="AR47" s="53"/>
      <c r="AS47" s="54"/>
      <c r="AT47" s="54"/>
      <c r="AU47" s="54"/>
      <c r="AV47" s="54"/>
      <c r="AW47" s="54"/>
      <c r="AX47" s="54"/>
      <c r="AY47" s="54"/>
      <c r="AZ47" s="54"/>
      <c r="BA47" s="55"/>
      <c r="BB47" s="56"/>
      <c r="BC47" s="57"/>
      <c r="BD47" s="128" t="str">
        <f>IF(ISERROR(COUNTIF($D47:$Y47,1)/(COUNTIF($D47:$Y47,1)+COUNTIF($D47:$Y47,0))),"",COUNTIF($D47:$Y47,1)/(COUNTIF($D47:$Y47,1)+COUNTIF($D47:$Y47,0))*General!$D$7*10)</f>
        <v/>
      </c>
      <c r="BE47" s="129" t="str">
        <f>IFERROR(AVERAGE($Z47:$AQ47) * General!$E$7, "")</f>
        <v/>
      </c>
      <c r="BF47" s="130" t="str">
        <f>IFERROR(AVERAGE($AR47:$BA47) * General!$F$7, "")</f>
        <v/>
      </c>
      <c r="BG47" s="131" t="str">
        <f>IFERROR(AVERAGE($BB47) * General!$G$7, "")</f>
        <v/>
      </c>
      <c r="BH47" s="132" t="str">
        <f>IFERROR(AVERAGE($BC47) * General!$H$7, "")</f>
        <v/>
      </c>
      <c r="BI47" s="157">
        <f t="shared" si="0"/>
        <v>0</v>
      </c>
      <c r="BJ47" s="162" t="str">
        <f t="shared" si="1"/>
        <v/>
      </c>
    </row>
    <row r="48" spans="1:62" ht="15.75" thickBot="1">
      <c r="A48" s="26" t="str">
        <f>IF(General!A49="","",General!A49)</f>
        <v/>
      </c>
      <c r="B48" s="26" t="str">
        <f>IF(General!B49="","",General!B49)</f>
        <v/>
      </c>
      <c r="C48" s="26" t="str">
        <f>IF(General!C49="","",General!C49)</f>
        <v/>
      </c>
      <c r="D48" s="58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110"/>
      <c r="W48" s="116"/>
      <c r="X48" s="100"/>
      <c r="Y48" s="101"/>
      <c r="Z48" s="60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2"/>
      <c r="AR48" s="63"/>
      <c r="AS48" s="64"/>
      <c r="AT48" s="64"/>
      <c r="AU48" s="64"/>
      <c r="AV48" s="64"/>
      <c r="AW48" s="64"/>
      <c r="AX48" s="64"/>
      <c r="AY48" s="64"/>
      <c r="AZ48" s="64"/>
      <c r="BA48" s="65"/>
      <c r="BB48" s="66"/>
      <c r="BC48" s="67"/>
      <c r="BD48" s="133" t="str">
        <f>IF(ISERROR(COUNTIF($D48:$Y48,1)/(COUNTIF($D48:$Y48,1)+COUNTIF($D48:$Y48,0))),"",COUNTIF($D48:$Y48,1)/(COUNTIF($D48:$Y48,1)+COUNTIF($D48:$Y48,0))*General!$D$7*10)</f>
        <v/>
      </c>
      <c r="BE48" s="134" t="str">
        <f>IFERROR(AVERAGE($Z48:$AQ48) * General!$E$7, "")</f>
        <v/>
      </c>
      <c r="BF48" s="135" t="str">
        <f>IFERROR(AVERAGE($AR48:$BA48) * General!$F$7, "")</f>
        <v/>
      </c>
      <c r="BG48" s="136" t="str">
        <f>IFERROR(AVERAGE($BB48) * General!$G$7, "")</f>
        <v/>
      </c>
      <c r="BH48" s="137" t="str">
        <f>IFERROR(AVERAGE($BC48) * General!$H$7, "")</f>
        <v/>
      </c>
      <c r="BI48" s="158">
        <f t="shared" si="0"/>
        <v>0</v>
      </c>
      <c r="BJ48" s="164" t="str">
        <f t="shared" si="1"/>
        <v/>
      </c>
    </row>
    <row r="49" spans="1:62" ht="15.75" thickTop="1">
      <c r="A49" s="19" t="str">
        <f>IF(General!A50="","",General!A50)</f>
        <v/>
      </c>
      <c r="B49" s="19" t="str">
        <f>IF(General!B50="","",General!B50)</f>
        <v/>
      </c>
      <c r="C49" s="19" t="str">
        <f>IF(General!C50="","",General!C50)</f>
        <v/>
      </c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112"/>
      <c r="W49" s="118"/>
      <c r="X49" s="104"/>
      <c r="Y49" s="105"/>
      <c r="Z49" s="79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1"/>
      <c r="AR49" s="82"/>
      <c r="AS49" s="83"/>
      <c r="AT49" s="83"/>
      <c r="AU49" s="83"/>
      <c r="AV49" s="83"/>
      <c r="AW49" s="83"/>
      <c r="AX49" s="83"/>
      <c r="AY49" s="83"/>
      <c r="AZ49" s="83"/>
      <c r="BA49" s="84"/>
      <c r="BB49" s="46"/>
      <c r="BC49" s="47"/>
      <c r="BD49" s="123" t="str">
        <f>IF(ISERROR(COUNTIF($D49:$Y49,1)/(COUNTIF($D49:$Y49,1)+COUNTIF($D49:$Y49,0))),"",COUNTIF($D49:$Y49,1)/(COUNTIF($D49:$Y49,1)+COUNTIF($D49:$Y49,0))*General!$D$7*10)</f>
        <v/>
      </c>
      <c r="BE49" s="124" t="str">
        <f>IFERROR(AVERAGE($Z49:$AQ49) * General!$E$7, "")</f>
        <v/>
      </c>
      <c r="BF49" s="125" t="str">
        <f>IFERROR(AVERAGE($AR49:$BA49) * General!$F$7, "")</f>
        <v/>
      </c>
      <c r="BG49" s="126" t="str">
        <f>IFERROR(AVERAGE($BB49) * General!$G$7, "")</f>
        <v/>
      </c>
      <c r="BH49" s="127" t="str">
        <f>IFERROR(AVERAGE($BC49) * General!$H$7, "")</f>
        <v/>
      </c>
      <c r="BI49" s="156">
        <f t="shared" si="0"/>
        <v>0</v>
      </c>
      <c r="BJ49" s="161" t="str">
        <f t="shared" si="1"/>
        <v/>
      </c>
    </row>
    <row r="50" spans="1:62" ht="15">
      <c r="A50" s="23" t="str">
        <f>IF(General!A51="","",General!A51)</f>
        <v/>
      </c>
      <c r="B50" s="23" t="str">
        <f>IF(General!B51="","",General!B51)</f>
        <v/>
      </c>
      <c r="C50" s="23" t="str">
        <f>IF(General!C51="","",General!C51)</f>
        <v/>
      </c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109"/>
      <c r="W50" s="115"/>
      <c r="X50" s="98"/>
      <c r="Y50" s="99"/>
      <c r="Z50" s="50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2"/>
      <c r="AR50" s="53"/>
      <c r="AS50" s="54"/>
      <c r="AT50" s="54"/>
      <c r="AU50" s="54"/>
      <c r="AV50" s="54"/>
      <c r="AW50" s="54"/>
      <c r="AX50" s="54"/>
      <c r="AY50" s="54"/>
      <c r="AZ50" s="54"/>
      <c r="BA50" s="55"/>
      <c r="BB50" s="56"/>
      <c r="BC50" s="57"/>
      <c r="BD50" s="128" t="str">
        <f>IF(ISERROR(COUNTIF($D50:$Y50,1)/(COUNTIF($D50:$Y50,1)+COUNTIF($D50:$Y50,0))),"",COUNTIF($D50:$Y50,1)/(COUNTIF($D50:$Y50,1)+COUNTIF($D50:$Y50,0))*General!$D$7*10)</f>
        <v/>
      </c>
      <c r="BE50" s="129" t="str">
        <f>IFERROR(AVERAGE($Z50:$AQ50) * General!$E$7, "")</f>
        <v/>
      </c>
      <c r="BF50" s="130" t="str">
        <f>IFERROR(AVERAGE($AR50:$BA50) * General!$F$7, "")</f>
        <v/>
      </c>
      <c r="BG50" s="131" t="str">
        <f>IFERROR(AVERAGE($BB50) * General!$G$7, "")</f>
        <v/>
      </c>
      <c r="BH50" s="132" t="str">
        <f>IFERROR(AVERAGE($BC50) * General!$H$7, "")</f>
        <v/>
      </c>
      <c r="BI50" s="157">
        <f t="shared" si="0"/>
        <v>0</v>
      </c>
      <c r="BJ50" s="162" t="str">
        <f t="shared" si="1"/>
        <v/>
      </c>
    </row>
    <row r="51" spans="1:62" ht="15">
      <c r="A51" s="23" t="str">
        <f>IF(General!A52="","",General!A52)</f>
        <v/>
      </c>
      <c r="B51" s="23" t="str">
        <f>IF(General!B52="","",General!B52)</f>
        <v/>
      </c>
      <c r="C51" s="23" t="str">
        <f>IF(General!C52="","",General!C52)</f>
        <v/>
      </c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109"/>
      <c r="W51" s="115"/>
      <c r="X51" s="98"/>
      <c r="Y51" s="99"/>
      <c r="Z51" s="50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2"/>
      <c r="AR51" s="53"/>
      <c r="AS51" s="54"/>
      <c r="AT51" s="54"/>
      <c r="AU51" s="54"/>
      <c r="AV51" s="54"/>
      <c r="AW51" s="54"/>
      <c r="AX51" s="54"/>
      <c r="AY51" s="54"/>
      <c r="AZ51" s="54"/>
      <c r="BA51" s="55"/>
      <c r="BB51" s="56"/>
      <c r="BC51" s="57"/>
      <c r="BD51" s="128" t="str">
        <f>IF(ISERROR(COUNTIF($D51:$Y51,1)/(COUNTIF($D51:$Y51,1)+COUNTIF($D51:$Y51,0))),"",COUNTIF($D51:$Y51,1)/(COUNTIF($D51:$Y51,1)+COUNTIF($D51:$Y51,0))*General!$D$7*10)</f>
        <v/>
      </c>
      <c r="BE51" s="129" t="str">
        <f>IFERROR(AVERAGE($Z51:$AQ51) * General!$E$7, "")</f>
        <v/>
      </c>
      <c r="BF51" s="130" t="str">
        <f>IFERROR(AVERAGE($AR51:$BA51) * General!$F$7, "")</f>
        <v/>
      </c>
      <c r="BG51" s="131" t="str">
        <f>IFERROR(AVERAGE($BB51) * General!$G$7, "")</f>
        <v/>
      </c>
      <c r="BH51" s="132" t="str">
        <f>IFERROR(AVERAGE($BC51) * General!$H$7, "")</f>
        <v/>
      </c>
      <c r="BI51" s="157">
        <f t="shared" si="0"/>
        <v>0</v>
      </c>
      <c r="BJ51" s="162" t="str">
        <f t="shared" si="1"/>
        <v/>
      </c>
    </row>
    <row r="52" spans="1:62" ht="15">
      <c r="A52" s="23" t="str">
        <f>IF(General!A53="","",General!A53)</f>
        <v/>
      </c>
      <c r="B52" s="23" t="str">
        <f>IF(General!B53="","",General!B53)</f>
        <v/>
      </c>
      <c r="C52" s="23" t="str">
        <f>IF(General!C53="","",General!C53)</f>
        <v/>
      </c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109"/>
      <c r="W52" s="115"/>
      <c r="X52" s="98"/>
      <c r="Y52" s="99"/>
      <c r="Z52" s="50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2"/>
      <c r="AR52" s="53"/>
      <c r="AS52" s="54"/>
      <c r="AT52" s="54"/>
      <c r="AU52" s="54"/>
      <c r="AV52" s="54"/>
      <c r="AW52" s="54"/>
      <c r="AX52" s="54"/>
      <c r="AY52" s="54"/>
      <c r="AZ52" s="54"/>
      <c r="BA52" s="55"/>
      <c r="BB52" s="56"/>
      <c r="BC52" s="57"/>
      <c r="BD52" s="128" t="str">
        <f>IF(ISERROR(COUNTIF($D52:$Y52,1)/(COUNTIF($D52:$Y52,1)+COUNTIF($D52:$Y52,0))),"",COUNTIF($D52:$Y52,1)/(COUNTIF($D52:$Y52,1)+COUNTIF($D52:$Y52,0))*General!$D$7*10)</f>
        <v/>
      </c>
      <c r="BE52" s="129" t="str">
        <f>IFERROR(AVERAGE($Z52:$AQ52) * General!$E$7, "")</f>
        <v/>
      </c>
      <c r="BF52" s="130" t="str">
        <f>IFERROR(AVERAGE($AR52:$BA52) * General!$F$7, "")</f>
        <v/>
      </c>
      <c r="BG52" s="131" t="str">
        <f>IFERROR(AVERAGE($BB52) * General!$G$7, "")</f>
        <v/>
      </c>
      <c r="BH52" s="132" t="str">
        <f>IFERROR(AVERAGE($BC52) * General!$H$7, "")</f>
        <v/>
      </c>
      <c r="BI52" s="157">
        <f t="shared" si="0"/>
        <v>0</v>
      </c>
      <c r="BJ52" s="162" t="str">
        <f t="shared" si="1"/>
        <v/>
      </c>
    </row>
    <row r="53" spans="1:62" ht="15.75" thickBot="1">
      <c r="A53" s="31" t="str">
        <f>IF(General!A54="","",General!A54)</f>
        <v/>
      </c>
      <c r="B53" s="31" t="str">
        <f>IF(General!B54="","",General!B54)</f>
        <v/>
      </c>
      <c r="C53" s="31" t="str">
        <f>IF(General!C54="","",General!C54)</f>
        <v/>
      </c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113"/>
      <c r="W53" s="119"/>
      <c r="X53" s="106"/>
      <c r="Y53" s="107"/>
      <c r="Z53" s="87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9"/>
      <c r="AR53" s="90"/>
      <c r="AS53" s="91"/>
      <c r="AT53" s="91"/>
      <c r="AU53" s="91"/>
      <c r="AV53" s="91"/>
      <c r="AW53" s="91"/>
      <c r="AX53" s="91"/>
      <c r="AY53" s="91"/>
      <c r="AZ53" s="91"/>
      <c r="BA53" s="92"/>
      <c r="BB53" s="93"/>
      <c r="BC53" s="94"/>
      <c r="BD53" s="138" t="str">
        <f>IF(ISERROR(COUNTIF($D53:$Y53,1)/(COUNTIF($D53:$Y53,1)+COUNTIF($D53:$Y53,0))),"",COUNTIF($D53:$Y53,1)/(COUNTIF($D53:$Y53,1)+COUNTIF($D53:$Y53,0))*General!$D$7*10)</f>
        <v/>
      </c>
      <c r="BE53" s="139" t="str">
        <f>IFERROR(AVERAGE($Z53:$AQ53) * General!$E$7, "")</f>
        <v/>
      </c>
      <c r="BF53" s="140" t="str">
        <f>IFERROR(AVERAGE($AR53:$BA53) * General!$F$7, "")</f>
        <v/>
      </c>
      <c r="BG53" s="141" t="str">
        <f>IFERROR(AVERAGE($BB53) * General!$G$7, "")</f>
        <v/>
      </c>
      <c r="BH53" s="142" t="str">
        <f>IFERROR(AVERAGE($BC53) * General!$H$7, "")</f>
        <v/>
      </c>
      <c r="BI53" s="159">
        <f t="shared" si="0"/>
        <v>0</v>
      </c>
      <c r="BJ53" s="163" t="str">
        <f t="shared" si="1"/>
        <v/>
      </c>
    </row>
    <row r="54" spans="1:62">
      <c r="A54" s="1" t="str">
        <f>IF(General!A55="","",General!A55)</f>
        <v/>
      </c>
      <c r="B54" s="1" t="str">
        <f>IF(General!B55="","",General!B55)</f>
        <v/>
      </c>
      <c r="C54" s="1" t="str">
        <f>IF(General!C55="","",General!C55)</f>
        <v/>
      </c>
    </row>
  </sheetData>
  <mergeCells count="78">
    <mergeCell ref="C6:C8"/>
    <mergeCell ref="AB7:AB8"/>
    <mergeCell ref="AH7:AH8"/>
    <mergeCell ref="I7:I8"/>
    <mergeCell ref="J7:J8"/>
    <mergeCell ref="K7:K8"/>
    <mergeCell ref="Q7:Q8"/>
    <mergeCell ref="R7:R8"/>
    <mergeCell ref="S7:S8"/>
    <mergeCell ref="W7:Y8"/>
    <mergeCell ref="M7:M8"/>
    <mergeCell ref="N7:N8"/>
    <mergeCell ref="O7:O8"/>
    <mergeCell ref="D6:Y6"/>
    <mergeCell ref="T7:T8"/>
    <mergeCell ref="U7:U8"/>
    <mergeCell ref="V7:V8"/>
    <mergeCell ref="BH6:BH8"/>
    <mergeCell ref="AJ7:AJ8"/>
    <mergeCell ref="AK7:AK8"/>
    <mergeCell ref="AL7:AL8"/>
    <mergeCell ref="AM7:AM8"/>
    <mergeCell ref="AN7:AN8"/>
    <mergeCell ref="Z6:AQ6"/>
    <mergeCell ref="AR6:BA6"/>
    <mergeCell ref="BD6:BD8"/>
    <mergeCell ref="BE6:BE8"/>
    <mergeCell ref="BF6:BF8"/>
    <mergeCell ref="BG6:BG8"/>
    <mergeCell ref="AI7:AI8"/>
    <mergeCell ref="BC6:BC8"/>
    <mergeCell ref="Z7:Z8"/>
    <mergeCell ref="AA7:AA8"/>
    <mergeCell ref="BB6:BB8"/>
    <mergeCell ref="AS7:AS8"/>
    <mergeCell ref="AT7:AT8"/>
    <mergeCell ref="AU7:AU8"/>
    <mergeCell ref="AV7:AV8"/>
    <mergeCell ref="AW7:AW8"/>
    <mergeCell ref="AP7:AP8"/>
    <mergeCell ref="AQ7:AQ8"/>
    <mergeCell ref="AC7:AC8"/>
    <mergeCell ref="AD7:AD8"/>
    <mergeCell ref="AE7:AE8"/>
    <mergeCell ref="AF7:AF8"/>
    <mergeCell ref="AG7:AG8"/>
    <mergeCell ref="A1:C2"/>
    <mergeCell ref="A3:B3"/>
    <mergeCell ref="A4:B4"/>
    <mergeCell ref="A5:B5"/>
    <mergeCell ref="AX7:AX8"/>
    <mergeCell ref="AO7:AO8"/>
    <mergeCell ref="L7:L8"/>
    <mergeCell ref="P7:P8"/>
    <mergeCell ref="D7:D8"/>
    <mergeCell ref="E7:E8"/>
    <mergeCell ref="F7:F8"/>
    <mergeCell ref="G7:G8"/>
    <mergeCell ref="H7:H8"/>
    <mergeCell ref="AR7:AR8"/>
    <mergeCell ref="B6:B8"/>
    <mergeCell ref="A6:A8"/>
    <mergeCell ref="BJ6:BJ8"/>
    <mergeCell ref="E2:X2"/>
    <mergeCell ref="E3:H3"/>
    <mergeCell ref="I3:L3"/>
    <mergeCell ref="M3:P3"/>
    <mergeCell ref="Q3:T3"/>
    <mergeCell ref="U3:X3"/>
    <mergeCell ref="E4:H4"/>
    <mergeCell ref="I4:L4"/>
    <mergeCell ref="M4:P4"/>
    <mergeCell ref="Q4:T4"/>
    <mergeCell ref="U4:X4"/>
    <mergeCell ref="BI6:BI8"/>
    <mergeCell ref="AY7:AY8"/>
    <mergeCell ref="AZ7:AZ8"/>
    <mergeCell ref="BA7:BA8"/>
  </mergeCells>
  <dataValidations count="5">
    <dataValidation allowBlank="1" showInputMessage="1" showErrorMessage="1" promptTitle="Fecha" prompt="Escribe la fecha con este formato: 01-01-2025" sqref="D7:V8" xr:uid="{9A5C6FBC-C4F6-4C43-8065-376093C2B0D2}"/>
    <dataValidation allowBlank="1" showInputMessage="1" showErrorMessage="1" promptTitle="Nombre" prompt="Escribe el nombre de la actividad" sqref="Z7:AQ8" xr:uid="{4E2F4C7C-2781-46BE-9182-5CE9157DB061}"/>
    <dataValidation allowBlank="1" showInputMessage="1" showErrorMessage="1" promptTitle="Nombre" prompt="Escribe el nombre de la evidencia" sqref="AR7:BA8" xr:uid="{0E7D05F5-4A1B-44F8-82E9-A568B9F58978}"/>
    <dataValidation type="list" allowBlank="1" showDropDown="1" showInputMessage="1" showErrorMessage="1" errorTitle="Advertencia" error="Solamente puedes escribir: 1-Asistencia, 0-Falta, y R-Retardo." sqref="D9:Y53" xr:uid="{806E5577-F0CE-45A7-8043-FB7F14E02C0B}">
      <formula1>"1, 0, R, r"</formula1>
    </dataValidation>
    <dataValidation allowBlank="1" showInputMessage="1" showErrorMessage="1" promptTitle="Faltas por retardos" prompt="Cuando el alumno acumule tres retardos en el regisitro, deberás de colocar una falta en esta sección." sqref="W7:Y8" xr:uid="{F271C746-16A8-4D23-8FBD-0867F583527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A45DC704-EAC0-4183-B3A3-16831765B5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D9:Y53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11A0-6002-4CF1-8B87-19939DC2D2E4}">
  <dimension ref="A1:BJ54"/>
  <sheetViews>
    <sheetView showGridLines="0" showRuler="0" zoomScale="90" zoomScaleNormal="90" zoomScaleSheetLayoutView="100" workbookViewId="0">
      <pane xSplit="3" topLeftCell="Q1" activePane="topRight" state="frozen"/>
      <selection pane="topRight" activeCell="AY43" sqref="AY43"/>
    </sheetView>
  </sheetViews>
  <sheetFormatPr baseColWidth="10" defaultColWidth="11.625" defaultRowHeight="14.25"/>
  <cols>
    <col min="1" max="1" width="4.125" style="1" bestFit="1" customWidth="1"/>
    <col min="2" max="2" width="12.25" style="1" bestFit="1" customWidth="1"/>
    <col min="3" max="3" width="44.25" style="1" customWidth="1"/>
    <col min="4" max="4" width="3.125" style="1" customWidth="1"/>
    <col min="5" max="25" width="3" style="1" bestFit="1" customWidth="1"/>
    <col min="26" max="26" width="4.75" style="1" bestFit="1" customWidth="1"/>
    <col min="27" max="43" width="4.875" style="1" bestFit="1" customWidth="1"/>
    <col min="44" max="44" width="4.75" style="1" bestFit="1" customWidth="1"/>
    <col min="45" max="53" width="4.875" style="1" bestFit="1" customWidth="1"/>
    <col min="54" max="55" width="6.75" style="1" customWidth="1"/>
    <col min="56" max="60" width="5" style="1" customWidth="1"/>
    <col min="61" max="61" width="11.75" style="1" customWidth="1"/>
    <col min="62" max="16384" width="11.625" style="1"/>
  </cols>
  <sheetData>
    <row r="1" spans="1:62">
      <c r="A1" s="186"/>
      <c r="B1" s="187"/>
      <c r="C1" s="187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35"/>
      <c r="BC1" s="35"/>
      <c r="BD1" s="35"/>
      <c r="BE1" s="35"/>
      <c r="BF1" s="35"/>
      <c r="BG1" s="35"/>
      <c r="BH1" s="35"/>
      <c r="BI1" s="35"/>
      <c r="BJ1" s="36"/>
    </row>
    <row r="2" spans="1:62" ht="15">
      <c r="A2" s="189"/>
      <c r="B2" s="190"/>
      <c r="C2" s="190"/>
      <c r="D2"/>
      <c r="E2" s="198" t="str">
        <f>IF(General!D5="","",General!D5)</f>
        <v>Ponderaciones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J2" s="37"/>
    </row>
    <row r="3" spans="1:62" ht="15">
      <c r="A3" s="179" t="str">
        <f>IF(General!A5="","",General!A5)</f>
        <v>Grupo:</v>
      </c>
      <c r="B3" s="180"/>
      <c r="C3" s="160" t="str">
        <f>IF(General!C5="","",General!C5)</f>
        <v>2A</v>
      </c>
      <c r="D3"/>
      <c r="E3" s="199" t="str">
        <f>IF(General!D6="","",General!D6)</f>
        <v>Asistencia</v>
      </c>
      <c r="F3" s="199"/>
      <c r="G3" s="199"/>
      <c r="H3" s="199"/>
      <c r="I3" s="199" t="str">
        <f>IF(General!E6="","",General!E6)</f>
        <v>Actividades</v>
      </c>
      <c r="J3" s="199"/>
      <c r="K3" s="199"/>
      <c r="L3" s="199"/>
      <c r="M3" s="199" t="str">
        <f>IF(General!F6="","",General!F6)</f>
        <v>Evidencias</v>
      </c>
      <c r="N3" s="199"/>
      <c r="O3" s="199"/>
      <c r="P3" s="199"/>
      <c r="Q3" s="199" t="str">
        <f>IF(General!G6="","",General!G6)</f>
        <v>Producto</v>
      </c>
      <c r="R3" s="199"/>
      <c r="S3" s="199"/>
      <c r="T3" s="199"/>
      <c r="U3" s="199" t="str">
        <f>IF(General!H6="","",General!H6)</f>
        <v>Examen</v>
      </c>
      <c r="V3" s="199"/>
      <c r="W3" s="199"/>
      <c r="X3" s="199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J3" s="37"/>
    </row>
    <row r="4" spans="1:62" ht="15">
      <c r="A4" s="179" t="str">
        <f>IF(General!A6="","",General!A6)</f>
        <v>Asignatura:</v>
      </c>
      <c r="B4" s="180"/>
      <c r="C4" s="160" t="str">
        <f>IF(General!C6="","",General!C6)</f>
        <v>HABILIDADES SOCIALES</v>
      </c>
      <c r="D4"/>
      <c r="E4" s="200">
        <f>IF(General!D7="","",General!D7)</f>
        <v>0</v>
      </c>
      <c r="F4" s="201"/>
      <c r="G4" s="201"/>
      <c r="H4" s="201"/>
      <c r="I4" s="200">
        <f>IF(General!E7="","",General!E7)</f>
        <v>0.2</v>
      </c>
      <c r="J4" s="201"/>
      <c r="K4" s="201"/>
      <c r="L4" s="201"/>
      <c r="M4" s="200">
        <f>IF(General!F7="","",General!F7)</f>
        <v>0.2</v>
      </c>
      <c r="N4" s="201"/>
      <c r="O4" s="201"/>
      <c r="P4" s="201"/>
      <c r="Q4" s="200">
        <f>IF(General!G7="","",General!G7)</f>
        <v>0.3</v>
      </c>
      <c r="R4" s="201"/>
      <c r="S4" s="201"/>
      <c r="T4" s="201"/>
      <c r="U4" s="200">
        <f>IF(General!H7="","",General!H7)</f>
        <v>0.3</v>
      </c>
      <c r="V4" s="201"/>
      <c r="W4" s="201"/>
      <c r="X4" s="201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J4" s="37"/>
    </row>
    <row r="5" spans="1:62" ht="15.75" thickBot="1">
      <c r="A5" s="212" t="str">
        <f>IF(General!A7="","",General!A7)</f>
        <v>Docente:</v>
      </c>
      <c r="B5" s="213"/>
      <c r="C5" s="160" t="str">
        <f>IF(General!C7="","",General!C7)</f>
        <v>EVANGELINA REYES AYALA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J5" s="37"/>
    </row>
    <row r="6" spans="1:62" ht="40.15" customHeight="1" thickBot="1">
      <c r="A6" s="222" t="s">
        <v>1</v>
      </c>
      <c r="B6" s="222" t="s">
        <v>0</v>
      </c>
      <c r="C6" s="222" t="s">
        <v>10</v>
      </c>
      <c r="D6" s="258" t="s">
        <v>6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60"/>
      <c r="Z6" s="235" t="s">
        <v>20</v>
      </c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7"/>
      <c r="AR6" s="238" t="s">
        <v>21</v>
      </c>
      <c r="AS6" s="239"/>
      <c r="AT6" s="239"/>
      <c r="AU6" s="239"/>
      <c r="AV6" s="239"/>
      <c r="AW6" s="239"/>
      <c r="AX6" s="239"/>
      <c r="AY6" s="239"/>
      <c r="AZ6" s="239"/>
      <c r="BA6" s="240"/>
      <c r="BB6" s="225" t="s">
        <v>22</v>
      </c>
      <c r="BC6" s="232" t="s">
        <v>23</v>
      </c>
      <c r="BD6" s="241" t="str">
        <f>CONCATENATE(General!$D$6, ": ", General!$D$7*100, " %")</f>
        <v>Asistencia: 0 %</v>
      </c>
      <c r="BE6" s="244" t="str">
        <f>CONCATENATE(General!$E$6, ": ", General!$E$7*100, " %")</f>
        <v>Actividades: 20 %</v>
      </c>
      <c r="BF6" s="247" t="str">
        <f>CONCATENATE(General!$F$6, ": ", General!$F$7*100, " %")</f>
        <v>Evidencias: 20 %</v>
      </c>
      <c r="BG6" s="225" t="str">
        <f>CONCATENATE(General!$G$6, ": ", General!$G$7*100, " %")</f>
        <v>Producto: 30 %</v>
      </c>
      <c r="BH6" s="232" t="str">
        <f>CONCATENATE(General!$H$6, ": ", General!$H$7*100, " %")</f>
        <v>Examen: 30 %</v>
      </c>
      <c r="BI6" s="202" t="s">
        <v>24</v>
      </c>
      <c r="BJ6" s="195" t="s">
        <v>29</v>
      </c>
    </row>
    <row r="7" spans="1:62">
      <c r="A7" s="223"/>
      <c r="B7" s="223"/>
      <c r="C7" s="223"/>
      <c r="D7" s="218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30"/>
      <c r="W7" s="252" t="s">
        <v>28</v>
      </c>
      <c r="X7" s="253"/>
      <c r="Y7" s="254"/>
      <c r="Z7" s="250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28"/>
      <c r="AR7" s="220"/>
      <c r="AS7" s="205"/>
      <c r="AT7" s="205"/>
      <c r="AU7" s="205"/>
      <c r="AV7" s="205"/>
      <c r="AW7" s="205"/>
      <c r="AX7" s="205"/>
      <c r="AY7" s="205"/>
      <c r="AZ7" s="205"/>
      <c r="BA7" s="207"/>
      <c r="BB7" s="226"/>
      <c r="BC7" s="233"/>
      <c r="BD7" s="242"/>
      <c r="BE7" s="245"/>
      <c r="BF7" s="248"/>
      <c r="BG7" s="226"/>
      <c r="BH7" s="233"/>
      <c r="BI7" s="203"/>
      <c r="BJ7" s="196"/>
    </row>
    <row r="8" spans="1:62" ht="35.450000000000003" customHeight="1" thickBot="1">
      <c r="A8" s="224"/>
      <c r="B8" s="224"/>
      <c r="C8" s="224"/>
      <c r="D8" s="219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31"/>
      <c r="W8" s="255"/>
      <c r="X8" s="256"/>
      <c r="Y8" s="257"/>
      <c r="Z8" s="251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29"/>
      <c r="AR8" s="221"/>
      <c r="AS8" s="206"/>
      <c r="AT8" s="206"/>
      <c r="AU8" s="206"/>
      <c r="AV8" s="206"/>
      <c r="AW8" s="206"/>
      <c r="AX8" s="206"/>
      <c r="AY8" s="206"/>
      <c r="AZ8" s="206"/>
      <c r="BA8" s="208"/>
      <c r="BB8" s="227"/>
      <c r="BC8" s="234"/>
      <c r="BD8" s="243"/>
      <c r="BE8" s="246"/>
      <c r="BF8" s="249"/>
      <c r="BG8" s="227"/>
      <c r="BH8" s="234"/>
      <c r="BI8" s="204"/>
      <c r="BJ8" s="197"/>
    </row>
    <row r="9" spans="1:62" ht="15">
      <c r="A9" s="120">
        <f>IF(General!A10="","",General!A10)</f>
        <v>1</v>
      </c>
      <c r="B9" s="120" t="str">
        <f>IF(General!B10="","",General!B10)</f>
        <v/>
      </c>
      <c r="C9" s="120" t="str">
        <f>IF(General!C10="","",General!C10)</f>
        <v/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108"/>
      <c r="W9" s="114"/>
      <c r="X9" s="96"/>
      <c r="Y9" s="97"/>
      <c r="Z9" s="40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  <c r="AR9" s="43"/>
      <c r="AS9" s="44"/>
      <c r="AT9" s="44"/>
      <c r="AU9" s="44"/>
      <c r="AV9" s="44"/>
      <c r="AW9" s="44"/>
      <c r="AX9" s="44"/>
      <c r="AY9" s="44"/>
      <c r="AZ9" s="44"/>
      <c r="BA9" s="45"/>
      <c r="BB9" s="46"/>
      <c r="BC9" s="47"/>
      <c r="BD9" s="123" t="str">
        <f>IF(ISERROR(COUNTIF($D9:$Y9,1)/(COUNTIF($D9:$Y9,1)+COUNTIF($D9:$Y9,0))),"",COUNTIF($D9:$Y9,1)/(COUNTIF($D9:$Y9,1)+COUNTIF($D9:$Y9,0))*General!$D$7*10)</f>
        <v/>
      </c>
      <c r="BE9" s="124" t="str">
        <f>IFERROR(AVERAGE($Z9:$AQ9) * General!$E$7, "")</f>
        <v/>
      </c>
      <c r="BF9" s="125" t="str">
        <f>IFERROR(AVERAGE($AR9:$BA9) * General!$F$7, "")</f>
        <v/>
      </c>
      <c r="BG9" s="126" t="str">
        <f>IFERROR(AVERAGE($BB9) * General!$G$7, "")</f>
        <v/>
      </c>
      <c r="BH9" s="127" t="str">
        <f>IFERROR(AVERAGE($BC9) * General!$H$7, "")</f>
        <v/>
      </c>
      <c r="BI9" s="156">
        <f>SUM(BD9:BH9)</f>
        <v>0</v>
      </c>
      <c r="BJ9" s="161" t="str">
        <f>IF(ISERROR(COUNTIF($D9:$Y9,1)/(COUNTIF($D9:$Y9,1)+COUNTIF($D9:$Y9,0))),"",COUNTIF($D9:$Y9,1)/(COUNTIF($D9:$Y9,1)+COUNTIF($D9:$Y9,0)))</f>
        <v/>
      </c>
    </row>
    <row r="10" spans="1:62" ht="15">
      <c r="A10" s="23">
        <f>IF(General!A11="","",General!A11)</f>
        <v>2</v>
      </c>
      <c r="B10" s="146" t="str">
        <f>IF(General!B11="","",General!B11)</f>
        <v/>
      </c>
      <c r="C10" s="23" t="str">
        <f>IF(General!C11="","",General!C11)</f>
        <v/>
      </c>
      <c r="D10" s="48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109"/>
      <c r="W10" s="115"/>
      <c r="X10" s="98"/>
      <c r="Y10" s="99"/>
      <c r="Z10" s="50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2"/>
      <c r="AR10" s="53"/>
      <c r="AS10" s="54"/>
      <c r="AT10" s="54"/>
      <c r="AU10" s="54"/>
      <c r="AV10" s="54"/>
      <c r="AW10" s="54"/>
      <c r="AX10" s="54"/>
      <c r="AY10" s="54"/>
      <c r="AZ10" s="54"/>
      <c r="BA10" s="55"/>
      <c r="BB10" s="56"/>
      <c r="BC10" s="57"/>
      <c r="BD10" s="128" t="str">
        <f>IF(ISERROR(COUNTIF($D10:$Y10,1)/(COUNTIF($D10:$Y10,1)+COUNTIF($D10:$Y10,0))),"",COUNTIF($D10:$Y10,1)/(COUNTIF($D10:$Y10,1)+COUNTIF($D10:$Y10,0))*General!$D$7*10)</f>
        <v/>
      </c>
      <c r="BE10" s="129" t="str">
        <f>IFERROR(AVERAGE($Z10:$AQ10) * General!$E$7, "")</f>
        <v/>
      </c>
      <c r="BF10" s="130" t="str">
        <f>IFERROR(AVERAGE($AR10:$BA10) * General!$F$7, "")</f>
        <v/>
      </c>
      <c r="BG10" s="131" t="str">
        <f>IFERROR(AVERAGE($BB10) * General!$G$7, "")</f>
        <v/>
      </c>
      <c r="BH10" s="132" t="str">
        <f>IFERROR(AVERAGE($BC10) * General!$H$7, "")</f>
        <v/>
      </c>
      <c r="BI10" s="157">
        <f t="shared" ref="BI10:BI53" si="0">SUM(BD10:BH10)</f>
        <v>0</v>
      </c>
      <c r="BJ10" s="162" t="str">
        <f t="shared" ref="BJ10:BJ53" si="1">IF(ISERROR(COUNTIF($D10:$Y10,1)/(COUNTIF($D10:$Y10,1)+COUNTIF($D10:$Y10,0))),"",COUNTIF($D10:$Y10,1)/(COUNTIF($D10:$Y10,1)+COUNTIF($D10:$Y10,0)))</f>
        <v/>
      </c>
    </row>
    <row r="11" spans="1:62" ht="15">
      <c r="A11" s="23">
        <f>IF(General!A12="","",General!A12)</f>
        <v>3</v>
      </c>
      <c r="B11" s="23" t="str">
        <f>IF(General!B12="","",General!B12)</f>
        <v/>
      </c>
      <c r="C11" s="23" t="str">
        <f>IF(General!C12="","",General!C12)</f>
        <v/>
      </c>
      <c r="D11" s="48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109"/>
      <c r="W11" s="115"/>
      <c r="X11" s="98"/>
      <c r="Y11" s="99"/>
      <c r="Z11" s="50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2"/>
      <c r="AR11" s="53"/>
      <c r="AS11" s="54"/>
      <c r="AT11" s="54"/>
      <c r="AU11" s="54"/>
      <c r="AV11" s="54"/>
      <c r="AW11" s="54"/>
      <c r="AX11" s="54"/>
      <c r="AY11" s="54"/>
      <c r="AZ11" s="54"/>
      <c r="BA11" s="55"/>
      <c r="BB11" s="56"/>
      <c r="BC11" s="57"/>
      <c r="BD11" s="128" t="str">
        <f>IF(ISERROR(COUNTIF($D11:$Y11,1)/(COUNTIF($D11:$Y11,1)+COUNTIF($D11:$Y11,0))),"",COUNTIF($D11:$Y11,1)/(COUNTIF($D11:$Y11,1)+COUNTIF($D11:$Y11,0))*General!$D$7*10)</f>
        <v/>
      </c>
      <c r="BE11" s="129" t="str">
        <f>IFERROR(AVERAGE($Z11:$AQ11) * General!$E$7, "")</f>
        <v/>
      </c>
      <c r="BF11" s="130" t="str">
        <f>IFERROR(AVERAGE($AR11:$BA11) * General!$F$7, "")</f>
        <v/>
      </c>
      <c r="BG11" s="131" t="str">
        <f>IFERROR(AVERAGE($BB11) * General!$G$7, "")</f>
        <v/>
      </c>
      <c r="BH11" s="132" t="str">
        <f>IFERROR(AVERAGE($BC11) * General!$H$7, "")</f>
        <v/>
      </c>
      <c r="BI11" s="157">
        <f t="shared" si="0"/>
        <v>0</v>
      </c>
      <c r="BJ11" s="162" t="str">
        <f t="shared" si="1"/>
        <v/>
      </c>
    </row>
    <row r="12" spans="1:62" ht="15">
      <c r="A12" s="23">
        <f>IF(General!A13="","",General!A13)</f>
        <v>4</v>
      </c>
      <c r="B12" s="23" t="str">
        <f>IF(General!B13="","",General!B13)</f>
        <v/>
      </c>
      <c r="C12" s="23" t="str">
        <f>IF(General!C13="","",General!C13)</f>
        <v/>
      </c>
      <c r="D12" s="48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109"/>
      <c r="W12" s="115"/>
      <c r="X12" s="98"/>
      <c r="Y12" s="99"/>
      <c r="Z12" s="50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/>
      <c r="AR12" s="53"/>
      <c r="AS12" s="54"/>
      <c r="AT12" s="54"/>
      <c r="AU12" s="54"/>
      <c r="AV12" s="54"/>
      <c r="AW12" s="54"/>
      <c r="AX12" s="54"/>
      <c r="AY12" s="54"/>
      <c r="AZ12" s="54"/>
      <c r="BA12" s="55"/>
      <c r="BB12" s="56"/>
      <c r="BC12" s="57"/>
      <c r="BD12" s="128" t="str">
        <f>IF(ISERROR(COUNTIF($D12:$Y12,1)/(COUNTIF($D12:$Y12,1)+COUNTIF($D12:$Y12,0))),"",COUNTIF($D12:$Y12,1)/(COUNTIF($D12:$Y12,1)+COUNTIF($D12:$Y12,0))*General!$D$7*10)</f>
        <v/>
      </c>
      <c r="BE12" s="129" t="str">
        <f>IFERROR(AVERAGE($Z12:$AQ12) * General!$E$7, "")</f>
        <v/>
      </c>
      <c r="BF12" s="130" t="str">
        <f>IFERROR(AVERAGE($AR12:$BA12) * General!$F$7, "")</f>
        <v/>
      </c>
      <c r="BG12" s="131" t="str">
        <f>IFERROR(AVERAGE($BB12) * General!$G$7, "")</f>
        <v/>
      </c>
      <c r="BH12" s="132" t="str">
        <f>IFERROR(AVERAGE($BC12) * General!$H$7, "")</f>
        <v/>
      </c>
      <c r="BI12" s="157">
        <f t="shared" si="0"/>
        <v>0</v>
      </c>
      <c r="BJ12" s="162" t="str">
        <f t="shared" si="1"/>
        <v/>
      </c>
    </row>
    <row r="13" spans="1:62" ht="15.75" thickBot="1">
      <c r="A13" s="26">
        <f>IF(General!A14="","",General!A14)</f>
        <v>5</v>
      </c>
      <c r="B13" s="26" t="str">
        <f>IF(General!B14="","",General!B14)</f>
        <v/>
      </c>
      <c r="C13" s="26" t="str">
        <f>IF(General!C14="","",General!C14)</f>
        <v/>
      </c>
      <c r="D13" s="58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110"/>
      <c r="W13" s="116"/>
      <c r="X13" s="100"/>
      <c r="Y13" s="101"/>
      <c r="Z13" s="60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2"/>
      <c r="AR13" s="63"/>
      <c r="AS13" s="64"/>
      <c r="AT13" s="64"/>
      <c r="AU13" s="64"/>
      <c r="AV13" s="64"/>
      <c r="AW13" s="64"/>
      <c r="AX13" s="64"/>
      <c r="AY13" s="64"/>
      <c r="AZ13" s="64"/>
      <c r="BA13" s="65"/>
      <c r="BB13" s="66"/>
      <c r="BC13" s="67"/>
      <c r="BD13" s="133" t="str">
        <f>IF(ISERROR(COUNTIF($D13:$Y13,1)/(COUNTIF($D13:$Y13,1)+COUNTIF($D13:$Y13,0))),"",COUNTIF($D13:$Y13,1)/(COUNTIF($D13:$Y13,1)+COUNTIF($D13:$Y13,0))*General!$D$7*10)</f>
        <v/>
      </c>
      <c r="BE13" s="134" t="str">
        <f>IFERROR(AVERAGE($Z13:$AQ13) * General!$E$7, "")</f>
        <v/>
      </c>
      <c r="BF13" s="135" t="str">
        <f>IFERROR(AVERAGE($AR13:$BA13) * General!$F$7, "")</f>
        <v/>
      </c>
      <c r="BG13" s="136" t="str">
        <f>IFERROR(AVERAGE($BB13) * General!$G$7, "")</f>
        <v/>
      </c>
      <c r="BH13" s="137" t="str">
        <f>IFERROR(AVERAGE($BC13) * General!$H$7, "")</f>
        <v/>
      </c>
      <c r="BI13" s="158">
        <f t="shared" si="0"/>
        <v>0</v>
      </c>
      <c r="BJ13" s="164" t="str">
        <f t="shared" si="1"/>
        <v/>
      </c>
    </row>
    <row r="14" spans="1:62" ht="15.75" thickTop="1">
      <c r="A14" s="121">
        <f>IF(General!A15="","",General!A15)</f>
        <v>6</v>
      </c>
      <c r="B14" s="121" t="str">
        <f>IF(General!B15="","",General!B15)</f>
        <v/>
      </c>
      <c r="C14" s="121" t="str">
        <f>IF(General!C15="","",General!C15)</f>
        <v/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111"/>
      <c r="W14" s="117"/>
      <c r="X14" s="102"/>
      <c r="Y14" s="103"/>
      <c r="Z14" s="70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  <c r="AR14" s="73"/>
      <c r="AS14" s="74"/>
      <c r="AT14" s="74"/>
      <c r="AU14" s="74"/>
      <c r="AV14" s="74"/>
      <c r="AW14" s="74"/>
      <c r="AX14" s="74"/>
      <c r="AY14" s="74"/>
      <c r="AZ14" s="74"/>
      <c r="BA14" s="75"/>
      <c r="BB14" s="76"/>
      <c r="BC14" s="47"/>
      <c r="BD14" s="123" t="str">
        <f>IF(ISERROR(COUNTIF($D14:$Y14,1)/(COUNTIF($D14:$Y14,1)+COUNTIF($D14:$Y14,0))),"",COUNTIF($D14:$Y14,1)/(COUNTIF($D14:$Y14,1)+COUNTIF($D14:$Y14,0))*General!$D$7*10)</f>
        <v/>
      </c>
      <c r="BE14" s="124" t="str">
        <f>IFERROR(AVERAGE($Z14:$AQ14) * General!$E$7, "")</f>
        <v/>
      </c>
      <c r="BF14" s="125" t="str">
        <f>IFERROR(AVERAGE($AR14:$BA14) * General!$F$7, "")</f>
        <v/>
      </c>
      <c r="BG14" s="126" t="str">
        <f>IFERROR(AVERAGE($BB14) * General!$G$7, "")</f>
        <v/>
      </c>
      <c r="BH14" s="127" t="str">
        <f>IFERROR(AVERAGE($BC14) * General!$H$7, "")</f>
        <v/>
      </c>
      <c r="BI14" s="156">
        <f t="shared" si="0"/>
        <v>0</v>
      </c>
      <c r="BJ14" s="161" t="str">
        <f t="shared" si="1"/>
        <v/>
      </c>
    </row>
    <row r="15" spans="1:62" ht="15">
      <c r="A15" s="23">
        <f>IF(General!A16="","",General!A16)</f>
        <v>7</v>
      </c>
      <c r="B15" s="23" t="str">
        <f>IF(General!B16="","",General!B16)</f>
        <v/>
      </c>
      <c r="C15" s="23" t="str">
        <f>IF(General!C16="","",General!C16)</f>
        <v/>
      </c>
      <c r="D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109"/>
      <c r="W15" s="115"/>
      <c r="X15" s="98"/>
      <c r="Y15" s="99"/>
      <c r="Z15" s="50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2"/>
      <c r="AR15" s="53"/>
      <c r="AS15" s="54"/>
      <c r="AT15" s="54"/>
      <c r="AU15" s="54"/>
      <c r="AV15" s="54"/>
      <c r="AW15" s="54"/>
      <c r="AX15" s="54"/>
      <c r="AY15" s="54"/>
      <c r="AZ15" s="54"/>
      <c r="BA15" s="55"/>
      <c r="BB15" s="56"/>
      <c r="BC15" s="57"/>
      <c r="BD15" s="128" t="str">
        <f>IF(ISERROR(COUNTIF($D15:$Y15,1)/(COUNTIF($D15:$Y15,1)+COUNTIF($D15:$Y15,0))),"",COUNTIF($D15:$Y15,1)/(COUNTIF($D15:$Y15,1)+COUNTIF($D15:$Y15,0))*General!$D$7*10)</f>
        <v/>
      </c>
      <c r="BE15" s="129" t="str">
        <f>IFERROR(AVERAGE($Z15:$AQ15) * General!$E$7, "")</f>
        <v/>
      </c>
      <c r="BF15" s="130" t="str">
        <f>IFERROR(AVERAGE($AR15:$BA15) * General!$F$7, "")</f>
        <v/>
      </c>
      <c r="BG15" s="131" t="str">
        <f>IFERROR(AVERAGE($BB15) * General!$G$7, "")</f>
        <v/>
      </c>
      <c r="BH15" s="132" t="str">
        <f>IFERROR(AVERAGE($BC15) * General!$H$7, "")</f>
        <v/>
      </c>
      <c r="BI15" s="157">
        <f t="shared" si="0"/>
        <v>0</v>
      </c>
      <c r="BJ15" s="162" t="str">
        <f t="shared" si="1"/>
        <v/>
      </c>
    </row>
    <row r="16" spans="1:62" ht="15">
      <c r="A16" s="23">
        <f>IF(General!A17="","",General!A17)</f>
        <v>8</v>
      </c>
      <c r="B16" s="23" t="str">
        <f>IF(General!B17="","",General!B17)</f>
        <v/>
      </c>
      <c r="C16" s="23" t="str">
        <f>IF(General!C17="","",General!C17)</f>
        <v/>
      </c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109"/>
      <c r="W16" s="115"/>
      <c r="X16" s="98"/>
      <c r="Y16" s="99"/>
      <c r="Z16" s="50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2"/>
      <c r="AR16" s="53"/>
      <c r="AS16" s="54"/>
      <c r="AT16" s="54"/>
      <c r="AU16" s="54"/>
      <c r="AV16" s="54"/>
      <c r="AW16" s="54"/>
      <c r="AX16" s="54"/>
      <c r="AY16" s="54"/>
      <c r="AZ16" s="54"/>
      <c r="BA16" s="55"/>
      <c r="BB16" s="56"/>
      <c r="BC16" s="57"/>
      <c r="BD16" s="128" t="str">
        <f>IF(ISERROR(COUNTIF($D16:$Y16,1)/(COUNTIF($D16:$Y16,1)+COUNTIF($D16:$Y16,0))),"",COUNTIF($D16:$Y16,1)/(COUNTIF($D16:$Y16,1)+COUNTIF($D16:$Y16,0))*General!$D$7*10)</f>
        <v/>
      </c>
      <c r="BE16" s="129" t="str">
        <f>IFERROR(AVERAGE($Z16:$AQ16) * General!$E$7, "")</f>
        <v/>
      </c>
      <c r="BF16" s="130" t="str">
        <f>IFERROR(AVERAGE($AR16:$BA16) * General!$F$7, "")</f>
        <v/>
      </c>
      <c r="BG16" s="131" t="str">
        <f>IFERROR(AVERAGE($BB16) * General!$G$7, "")</f>
        <v/>
      </c>
      <c r="BH16" s="132" t="str">
        <f>IFERROR(AVERAGE($BC16) * General!$H$7, "")</f>
        <v/>
      </c>
      <c r="BI16" s="157">
        <f t="shared" si="0"/>
        <v>0</v>
      </c>
      <c r="BJ16" s="162" t="str">
        <f t="shared" si="1"/>
        <v/>
      </c>
    </row>
    <row r="17" spans="1:62" ht="15">
      <c r="A17" s="23">
        <f>IF(General!A18="","",General!A18)</f>
        <v>9</v>
      </c>
      <c r="B17" s="23" t="str">
        <f>IF(General!B18="","",General!B18)</f>
        <v/>
      </c>
      <c r="C17" s="23" t="str">
        <f>IF(General!C18="","",General!C18)</f>
        <v/>
      </c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109"/>
      <c r="W17" s="115"/>
      <c r="X17" s="98"/>
      <c r="Y17" s="99"/>
      <c r="Z17" s="50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2"/>
      <c r="AR17" s="53"/>
      <c r="AS17" s="54"/>
      <c r="AT17" s="54"/>
      <c r="AU17" s="54"/>
      <c r="AV17" s="54"/>
      <c r="AW17" s="54"/>
      <c r="AX17" s="54"/>
      <c r="AY17" s="54"/>
      <c r="AZ17" s="54"/>
      <c r="BA17" s="55"/>
      <c r="BB17" s="56"/>
      <c r="BC17" s="57"/>
      <c r="BD17" s="128" t="str">
        <f>IF(ISERROR(COUNTIF($D17:$Y17,1)/(COUNTIF($D17:$Y17,1)+COUNTIF($D17:$Y17,0))),"",COUNTIF($D17:$Y17,1)/(COUNTIF($D17:$Y17,1)+COUNTIF($D17:$Y17,0))*General!$D$7*10)</f>
        <v/>
      </c>
      <c r="BE17" s="129" t="str">
        <f>IFERROR(AVERAGE($Z17:$AQ17) * General!$E$7, "")</f>
        <v/>
      </c>
      <c r="BF17" s="130" t="str">
        <f>IFERROR(AVERAGE($AR17:$BA17) * General!$F$7, "")</f>
        <v/>
      </c>
      <c r="BG17" s="131" t="str">
        <f>IFERROR(AVERAGE($BB17) * General!$G$7, "")</f>
        <v/>
      </c>
      <c r="BH17" s="132" t="str">
        <f>IFERROR(AVERAGE($BC17) * General!$H$7, "")</f>
        <v/>
      </c>
      <c r="BI17" s="157">
        <f t="shared" si="0"/>
        <v>0</v>
      </c>
      <c r="BJ17" s="162" t="str">
        <f t="shared" si="1"/>
        <v/>
      </c>
    </row>
    <row r="18" spans="1:62" ht="15.75" thickBot="1">
      <c r="A18" s="26">
        <f>IF(General!A19="","",General!A19)</f>
        <v>10</v>
      </c>
      <c r="B18" s="26" t="str">
        <f>IF(General!B19="","",General!B19)</f>
        <v/>
      </c>
      <c r="C18" s="26" t="str">
        <f>IF(General!C19="","",General!C19)</f>
        <v/>
      </c>
      <c r="D18" s="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110"/>
      <c r="W18" s="116"/>
      <c r="X18" s="100"/>
      <c r="Y18" s="101"/>
      <c r="Z18" s="60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2"/>
      <c r="AR18" s="63"/>
      <c r="AS18" s="64"/>
      <c r="AT18" s="64"/>
      <c r="AU18" s="64"/>
      <c r="AV18" s="64"/>
      <c r="AW18" s="64"/>
      <c r="AX18" s="64"/>
      <c r="AY18" s="64"/>
      <c r="AZ18" s="64"/>
      <c r="BA18" s="65"/>
      <c r="BB18" s="66"/>
      <c r="BC18" s="67"/>
      <c r="BD18" s="133" t="str">
        <f>IF(ISERROR(COUNTIF($D18:$Y18,1)/(COUNTIF($D18:$Y18,1)+COUNTIF($D18:$Y18,0))),"",COUNTIF($D18:$Y18,1)/(COUNTIF($D18:$Y18,1)+COUNTIF($D18:$Y18,0))*General!$D$7*10)</f>
        <v/>
      </c>
      <c r="BE18" s="134" t="str">
        <f>IFERROR(AVERAGE($Z18:$AQ18) * General!$E$7, "")</f>
        <v/>
      </c>
      <c r="BF18" s="135" t="str">
        <f>IFERROR(AVERAGE($AR18:$BA18) * General!$F$7, "")</f>
        <v/>
      </c>
      <c r="BG18" s="136" t="str">
        <f>IFERROR(AVERAGE($BB18) * General!$G$7, "")</f>
        <v/>
      </c>
      <c r="BH18" s="137" t="str">
        <f>IFERROR(AVERAGE($BC18) * General!$H$7, "")</f>
        <v/>
      </c>
      <c r="BI18" s="158">
        <f t="shared" si="0"/>
        <v>0</v>
      </c>
      <c r="BJ18" s="164" t="str">
        <f t="shared" si="1"/>
        <v/>
      </c>
    </row>
    <row r="19" spans="1:62" ht="15.75" thickTop="1">
      <c r="A19" s="121">
        <f>IF(General!A20="","",General!A20)</f>
        <v>11</v>
      </c>
      <c r="B19" s="121" t="str">
        <f>IF(General!B20="","",General!B20)</f>
        <v/>
      </c>
      <c r="C19" s="121" t="str">
        <f>IF(General!C20="","",General!C20)</f>
        <v/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111"/>
      <c r="W19" s="117"/>
      <c r="X19" s="102"/>
      <c r="Y19" s="103"/>
      <c r="Z19" s="70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2"/>
      <c r="AR19" s="73"/>
      <c r="AS19" s="74"/>
      <c r="AT19" s="74"/>
      <c r="AU19" s="74"/>
      <c r="AV19" s="74"/>
      <c r="AW19" s="74"/>
      <c r="AX19" s="74"/>
      <c r="AY19" s="74"/>
      <c r="AZ19" s="74"/>
      <c r="BA19" s="75"/>
      <c r="BB19" s="76"/>
      <c r="BC19" s="47"/>
      <c r="BD19" s="123" t="str">
        <f>IF(ISERROR(COUNTIF($D19:$Y19,1)/(COUNTIF($D19:$Y19,1)+COUNTIF($D19:$Y19,0))),"",COUNTIF($D19:$Y19,1)/(COUNTIF($D19:$Y19,1)+COUNTIF($D19:$Y19,0))*General!$D$7*10)</f>
        <v/>
      </c>
      <c r="BE19" s="124" t="str">
        <f>IFERROR(AVERAGE($Z19:$AQ19) * General!$E$7, "")</f>
        <v/>
      </c>
      <c r="BF19" s="125" t="str">
        <f>IFERROR(AVERAGE($AR19:$BA19) * General!$F$7, "")</f>
        <v/>
      </c>
      <c r="BG19" s="126" t="str">
        <f>IFERROR(AVERAGE($BB19) * General!$G$7, "")</f>
        <v/>
      </c>
      <c r="BH19" s="127" t="str">
        <f>IFERROR(AVERAGE($BC19) * General!$H$7, "")</f>
        <v/>
      </c>
      <c r="BI19" s="156">
        <f t="shared" si="0"/>
        <v>0</v>
      </c>
      <c r="BJ19" s="161" t="str">
        <f t="shared" si="1"/>
        <v/>
      </c>
    </row>
    <row r="20" spans="1:62" ht="15">
      <c r="A20" s="23">
        <f>IF(General!A21="","",General!A21)</f>
        <v>12</v>
      </c>
      <c r="B20" s="23" t="str">
        <f>IF(General!B21="","",General!B21)</f>
        <v/>
      </c>
      <c r="C20" s="23" t="str">
        <f>IF(General!C21="","",General!C21)</f>
        <v/>
      </c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109"/>
      <c r="W20" s="115"/>
      <c r="X20" s="98"/>
      <c r="Y20" s="99"/>
      <c r="Z20" s="50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2"/>
      <c r="AR20" s="53"/>
      <c r="AS20" s="54"/>
      <c r="AT20" s="54"/>
      <c r="AU20" s="54"/>
      <c r="AV20" s="54"/>
      <c r="AW20" s="54"/>
      <c r="AX20" s="54"/>
      <c r="AY20" s="54"/>
      <c r="AZ20" s="54"/>
      <c r="BA20" s="55"/>
      <c r="BB20" s="56"/>
      <c r="BC20" s="57"/>
      <c r="BD20" s="128" t="str">
        <f>IF(ISERROR(COUNTIF($D20:$Y20,1)/(COUNTIF($D20:$Y20,1)+COUNTIF($D20:$Y20,0))),"",COUNTIF($D20:$Y20,1)/(COUNTIF($D20:$Y20,1)+COUNTIF($D20:$Y20,0))*General!$D$7*10)</f>
        <v/>
      </c>
      <c r="BE20" s="129" t="str">
        <f>IFERROR(AVERAGE($Z20:$AQ20) * General!$E$7, "")</f>
        <v/>
      </c>
      <c r="BF20" s="130" t="str">
        <f>IFERROR(AVERAGE($AR20:$BA20) * General!$F$7, "")</f>
        <v/>
      </c>
      <c r="BG20" s="131" t="str">
        <f>IFERROR(AVERAGE($BB20) * General!$G$7, "")</f>
        <v/>
      </c>
      <c r="BH20" s="132" t="str">
        <f>IFERROR(AVERAGE($BC20) * General!$H$7, "")</f>
        <v/>
      </c>
      <c r="BI20" s="157">
        <f t="shared" si="0"/>
        <v>0</v>
      </c>
      <c r="BJ20" s="162" t="str">
        <f t="shared" si="1"/>
        <v/>
      </c>
    </row>
    <row r="21" spans="1:62" ht="15">
      <c r="A21" s="23">
        <f>IF(General!A22="","",General!A22)</f>
        <v>13</v>
      </c>
      <c r="B21" s="23" t="str">
        <f>IF(General!B22="","",General!B22)</f>
        <v/>
      </c>
      <c r="C21" s="23" t="str">
        <f>IF(General!C22="","",General!C22)</f>
        <v/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109"/>
      <c r="W21" s="115"/>
      <c r="X21" s="98"/>
      <c r="Y21" s="99"/>
      <c r="Z21" s="50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2"/>
      <c r="AR21" s="53"/>
      <c r="AS21" s="54"/>
      <c r="AT21" s="54"/>
      <c r="AU21" s="54"/>
      <c r="AV21" s="54"/>
      <c r="AW21" s="54"/>
      <c r="AX21" s="54"/>
      <c r="AY21" s="54"/>
      <c r="AZ21" s="54"/>
      <c r="BA21" s="55"/>
      <c r="BB21" s="56"/>
      <c r="BC21" s="57"/>
      <c r="BD21" s="128" t="str">
        <f>IF(ISERROR(COUNTIF($D21:$Y21,1)/(COUNTIF($D21:$Y21,1)+COUNTIF($D21:$Y21,0))),"",COUNTIF($D21:$Y21,1)/(COUNTIF($D21:$Y21,1)+COUNTIF($D21:$Y21,0))*General!$D$7*10)</f>
        <v/>
      </c>
      <c r="BE21" s="129" t="str">
        <f>IFERROR(AVERAGE($Z21:$AQ21) * General!$E$7, "")</f>
        <v/>
      </c>
      <c r="BF21" s="130" t="str">
        <f>IFERROR(AVERAGE($AR21:$BA21) * General!$F$7, "")</f>
        <v/>
      </c>
      <c r="BG21" s="131" t="str">
        <f>IFERROR(AVERAGE($BB21) * General!$G$7, "")</f>
        <v/>
      </c>
      <c r="BH21" s="132" t="str">
        <f>IFERROR(AVERAGE($BC21) * General!$H$7, "")</f>
        <v/>
      </c>
      <c r="BI21" s="157">
        <f t="shared" si="0"/>
        <v>0</v>
      </c>
      <c r="BJ21" s="162" t="str">
        <f t="shared" si="1"/>
        <v/>
      </c>
    </row>
    <row r="22" spans="1:62" ht="15">
      <c r="A22" s="23">
        <f>IF(General!A23="","",General!A23)</f>
        <v>14</v>
      </c>
      <c r="B22" s="23" t="str">
        <f>IF(General!B23="","",General!B23)</f>
        <v/>
      </c>
      <c r="C22" s="23" t="str">
        <f>IF(General!C23="","",General!C23)</f>
        <v/>
      </c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109"/>
      <c r="W22" s="115"/>
      <c r="X22" s="98"/>
      <c r="Y22" s="99"/>
      <c r="Z22" s="50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2"/>
      <c r="AR22" s="53"/>
      <c r="AS22" s="54"/>
      <c r="AT22" s="54"/>
      <c r="AU22" s="54"/>
      <c r="AV22" s="54"/>
      <c r="AW22" s="54"/>
      <c r="AX22" s="54"/>
      <c r="AY22" s="54"/>
      <c r="AZ22" s="54"/>
      <c r="BA22" s="55"/>
      <c r="BB22" s="56"/>
      <c r="BC22" s="57"/>
      <c r="BD22" s="128" t="str">
        <f>IF(ISERROR(COUNTIF($D22:$Y22,1)/(COUNTIF($D22:$Y22,1)+COUNTIF($D22:$Y22,0))),"",COUNTIF($D22:$Y22,1)/(COUNTIF($D22:$Y22,1)+COUNTIF($D22:$Y22,0))*General!$D$7*10)</f>
        <v/>
      </c>
      <c r="BE22" s="129" t="str">
        <f>IFERROR(AVERAGE($Z22:$AQ22) * General!$E$7, "")</f>
        <v/>
      </c>
      <c r="BF22" s="130" t="str">
        <f>IFERROR(AVERAGE($AR22:$BA22) * General!$F$7, "")</f>
        <v/>
      </c>
      <c r="BG22" s="131" t="str">
        <f>IFERROR(AVERAGE($BB22) * General!$G$7, "")</f>
        <v/>
      </c>
      <c r="BH22" s="132" t="str">
        <f>IFERROR(AVERAGE($BC22) * General!$H$7, "")</f>
        <v/>
      </c>
      <c r="BI22" s="157">
        <f t="shared" si="0"/>
        <v>0</v>
      </c>
      <c r="BJ22" s="162" t="str">
        <f t="shared" si="1"/>
        <v/>
      </c>
    </row>
    <row r="23" spans="1:62" ht="15.75" thickBot="1">
      <c r="A23" s="26">
        <f>IF(General!A24="","",General!A24)</f>
        <v>15</v>
      </c>
      <c r="B23" s="26" t="str">
        <f>IF(General!B24="","",General!B24)</f>
        <v/>
      </c>
      <c r="C23" s="26" t="str">
        <f>IF(General!C24="","",General!C24)</f>
        <v/>
      </c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110"/>
      <c r="W23" s="116"/>
      <c r="X23" s="100"/>
      <c r="Y23" s="101"/>
      <c r="Z23" s="60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2"/>
      <c r="AR23" s="63"/>
      <c r="AS23" s="64"/>
      <c r="AT23" s="64"/>
      <c r="AU23" s="64"/>
      <c r="AV23" s="64"/>
      <c r="AW23" s="64"/>
      <c r="AX23" s="64"/>
      <c r="AY23" s="64"/>
      <c r="AZ23" s="64"/>
      <c r="BA23" s="65"/>
      <c r="BB23" s="66"/>
      <c r="BC23" s="67"/>
      <c r="BD23" s="133" t="str">
        <f>IF(ISERROR(COUNTIF($D23:$Y23,1)/(COUNTIF($D23:$Y23,1)+COUNTIF($D23:$Y23,0))),"",COUNTIF($D23:$Y23,1)/(COUNTIF($D23:$Y23,1)+COUNTIF($D23:$Y23,0))*General!$D$7*10)</f>
        <v/>
      </c>
      <c r="BE23" s="134" t="str">
        <f>IFERROR(AVERAGE($Z23:$AQ23) * General!$E$7, "")</f>
        <v/>
      </c>
      <c r="BF23" s="135" t="str">
        <f>IFERROR(AVERAGE($AR23:$BA23) * General!$F$7, "")</f>
        <v/>
      </c>
      <c r="BG23" s="136" t="str">
        <f>IFERROR(AVERAGE($BB23) * General!$G$7, "")</f>
        <v/>
      </c>
      <c r="BH23" s="137" t="str">
        <f>IFERROR(AVERAGE($BC23) * General!$H$7, "")</f>
        <v/>
      </c>
      <c r="BI23" s="158">
        <f t="shared" si="0"/>
        <v>0</v>
      </c>
      <c r="BJ23" s="164" t="str">
        <f t="shared" si="1"/>
        <v/>
      </c>
    </row>
    <row r="24" spans="1:62" ht="15.75" thickTop="1">
      <c r="A24" s="121">
        <f>IF(General!A25="","",General!A25)</f>
        <v>16</v>
      </c>
      <c r="B24" s="121" t="str">
        <f>IF(General!B25="","",General!B25)</f>
        <v/>
      </c>
      <c r="C24" s="121" t="str">
        <f>IF(General!C25="","",General!C25)</f>
        <v/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111"/>
      <c r="W24" s="117"/>
      <c r="X24" s="102"/>
      <c r="Y24" s="103"/>
      <c r="Z24" s="70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2"/>
      <c r="AR24" s="73"/>
      <c r="AS24" s="74"/>
      <c r="AT24" s="74"/>
      <c r="AU24" s="74"/>
      <c r="AV24" s="74"/>
      <c r="AW24" s="74"/>
      <c r="AX24" s="74"/>
      <c r="AY24" s="74"/>
      <c r="AZ24" s="74"/>
      <c r="BA24" s="75"/>
      <c r="BB24" s="76"/>
      <c r="BC24" s="47"/>
      <c r="BD24" s="123" t="str">
        <f>IF(ISERROR(COUNTIF($D24:$Y24,1)/(COUNTIF($D24:$Y24,1)+COUNTIF($D24:$Y24,0))),"",COUNTIF($D24:$Y24,1)/(COUNTIF($D24:$Y24,1)+COUNTIF($D24:$Y24,0))*General!$D$7*10)</f>
        <v/>
      </c>
      <c r="BE24" s="124" t="str">
        <f>IFERROR(AVERAGE($Z24:$AQ24) * General!$E$7, "")</f>
        <v/>
      </c>
      <c r="BF24" s="125" t="str">
        <f>IFERROR(AVERAGE($AR24:$BA24) * General!$F$7, "")</f>
        <v/>
      </c>
      <c r="BG24" s="126" t="str">
        <f>IFERROR(AVERAGE($BB24) * General!$G$7, "")</f>
        <v/>
      </c>
      <c r="BH24" s="127" t="str">
        <f>IFERROR(AVERAGE($BC24) * General!$H$7, "")</f>
        <v/>
      </c>
      <c r="BI24" s="156">
        <f t="shared" si="0"/>
        <v>0</v>
      </c>
      <c r="BJ24" s="161" t="str">
        <f t="shared" si="1"/>
        <v/>
      </c>
    </row>
    <row r="25" spans="1:62" ht="15">
      <c r="A25" s="23">
        <f>IF(General!A26="","",General!A26)</f>
        <v>17</v>
      </c>
      <c r="B25" s="23" t="str">
        <f>IF(General!B26="","",General!B26)</f>
        <v/>
      </c>
      <c r="C25" s="23" t="str">
        <f>IF(General!C26="","",General!C26)</f>
        <v/>
      </c>
      <c r="D25" s="48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109"/>
      <c r="W25" s="115"/>
      <c r="X25" s="98"/>
      <c r="Y25" s="99"/>
      <c r="Z25" s="50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2"/>
      <c r="AR25" s="53"/>
      <c r="AS25" s="54"/>
      <c r="AT25" s="54"/>
      <c r="AU25" s="54"/>
      <c r="AV25" s="54"/>
      <c r="AW25" s="54"/>
      <c r="AX25" s="54"/>
      <c r="AY25" s="54"/>
      <c r="AZ25" s="54"/>
      <c r="BA25" s="55"/>
      <c r="BB25" s="56"/>
      <c r="BC25" s="57"/>
      <c r="BD25" s="128" t="str">
        <f>IF(ISERROR(COUNTIF($D25:$Y25,1)/(COUNTIF($D25:$Y25,1)+COUNTIF($D25:$Y25,0))),"",COUNTIF($D25:$Y25,1)/(COUNTIF($D25:$Y25,1)+COUNTIF($D25:$Y25,0))*General!$D$7*10)</f>
        <v/>
      </c>
      <c r="BE25" s="129" t="str">
        <f>IFERROR(AVERAGE($Z25:$AQ25) * General!$E$7, "")</f>
        <v/>
      </c>
      <c r="BF25" s="130" t="str">
        <f>IFERROR(AVERAGE($AR25:$BA25) * General!$F$7, "")</f>
        <v/>
      </c>
      <c r="BG25" s="131" t="str">
        <f>IFERROR(AVERAGE($BB25) * General!$G$7, "")</f>
        <v/>
      </c>
      <c r="BH25" s="132" t="str">
        <f>IFERROR(AVERAGE($BC25) * General!$H$7, "")</f>
        <v/>
      </c>
      <c r="BI25" s="157">
        <f t="shared" si="0"/>
        <v>0</v>
      </c>
      <c r="BJ25" s="162" t="str">
        <f t="shared" si="1"/>
        <v/>
      </c>
    </row>
    <row r="26" spans="1:62" ht="15">
      <c r="A26" s="23">
        <f>IF(General!A27="","",General!A27)</f>
        <v>18</v>
      </c>
      <c r="B26" s="23" t="str">
        <f>IF(General!B27="","",General!B27)</f>
        <v/>
      </c>
      <c r="C26" s="23" t="str">
        <f>IF(General!C27="","",General!C27)</f>
        <v/>
      </c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109"/>
      <c r="W26" s="115"/>
      <c r="X26" s="98"/>
      <c r="Y26" s="99"/>
      <c r="Z26" s="50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2"/>
      <c r="AR26" s="53"/>
      <c r="AS26" s="54"/>
      <c r="AT26" s="54"/>
      <c r="AU26" s="54"/>
      <c r="AV26" s="54"/>
      <c r="AW26" s="54"/>
      <c r="AX26" s="54"/>
      <c r="AY26" s="54"/>
      <c r="AZ26" s="54"/>
      <c r="BA26" s="55"/>
      <c r="BB26" s="56"/>
      <c r="BC26" s="57"/>
      <c r="BD26" s="128" t="str">
        <f>IF(ISERROR(COUNTIF($D26:$Y26,1)/(COUNTIF($D26:$Y26,1)+COUNTIF($D26:$Y26,0))),"",COUNTIF($D26:$Y26,1)/(COUNTIF($D26:$Y26,1)+COUNTIF($D26:$Y26,0))*General!$D$7*10)</f>
        <v/>
      </c>
      <c r="BE26" s="129" t="str">
        <f>IFERROR(AVERAGE($Z26:$AQ26) * General!$E$7, "")</f>
        <v/>
      </c>
      <c r="BF26" s="130" t="str">
        <f>IFERROR(AVERAGE($AR26:$BA26) * General!$F$7, "")</f>
        <v/>
      </c>
      <c r="BG26" s="131" t="str">
        <f>IFERROR(AVERAGE($BB26) * General!$G$7, "")</f>
        <v/>
      </c>
      <c r="BH26" s="132" t="str">
        <f>IFERROR(AVERAGE($BC26) * General!$H$7, "")</f>
        <v/>
      </c>
      <c r="BI26" s="157">
        <f t="shared" si="0"/>
        <v>0</v>
      </c>
      <c r="BJ26" s="162" t="str">
        <f t="shared" si="1"/>
        <v/>
      </c>
    </row>
    <row r="27" spans="1:62" ht="15">
      <c r="A27" s="23">
        <f>IF(General!A28="","",General!A28)</f>
        <v>19</v>
      </c>
      <c r="B27" s="23" t="str">
        <f>IF(General!B28="","",General!B28)</f>
        <v/>
      </c>
      <c r="C27" s="23" t="str">
        <f>IF(General!C28="","",General!C28)</f>
        <v/>
      </c>
      <c r="D27" s="48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109"/>
      <c r="W27" s="115"/>
      <c r="X27" s="98"/>
      <c r="Y27" s="99"/>
      <c r="Z27" s="50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2"/>
      <c r="AR27" s="53"/>
      <c r="AS27" s="54"/>
      <c r="AT27" s="54"/>
      <c r="AU27" s="54"/>
      <c r="AV27" s="54"/>
      <c r="AW27" s="54"/>
      <c r="AX27" s="54"/>
      <c r="AY27" s="54"/>
      <c r="AZ27" s="54"/>
      <c r="BA27" s="55"/>
      <c r="BB27" s="56"/>
      <c r="BC27" s="57"/>
      <c r="BD27" s="128" t="str">
        <f>IF(ISERROR(COUNTIF($D27:$Y27,1)/(COUNTIF($D27:$Y27,1)+COUNTIF($D27:$Y27,0))),"",COUNTIF($D27:$Y27,1)/(COUNTIF($D27:$Y27,1)+COUNTIF($D27:$Y27,0))*General!$D$7*10)</f>
        <v/>
      </c>
      <c r="BE27" s="129" t="str">
        <f>IFERROR(AVERAGE($Z27:$AQ27) * General!$E$7, "")</f>
        <v/>
      </c>
      <c r="BF27" s="130" t="str">
        <f>IFERROR(AVERAGE($AR27:$BA27) * General!$F$7, "")</f>
        <v/>
      </c>
      <c r="BG27" s="131" t="str">
        <f>IFERROR(AVERAGE($BB27) * General!$G$7, "")</f>
        <v/>
      </c>
      <c r="BH27" s="132" t="str">
        <f>IFERROR(AVERAGE($BC27) * General!$H$7, "")</f>
        <v/>
      </c>
      <c r="BI27" s="157">
        <f t="shared" si="0"/>
        <v>0</v>
      </c>
      <c r="BJ27" s="162" t="str">
        <f t="shared" si="1"/>
        <v/>
      </c>
    </row>
    <row r="28" spans="1:62" ht="15.75" thickBot="1">
      <c r="A28" s="26">
        <f>IF(General!A29="","",General!A29)</f>
        <v>20</v>
      </c>
      <c r="B28" s="26" t="str">
        <f>IF(General!B29="","",General!B29)</f>
        <v/>
      </c>
      <c r="C28" s="26" t="str">
        <f>IF(General!C29="","",General!C29)</f>
        <v/>
      </c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110"/>
      <c r="W28" s="116"/>
      <c r="X28" s="100"/>
      <c r="Y28" s="101"/>
      <c r="Z28" s="60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2"/>
      <c r="AR28" s="63"/>
      <c r="AS28" s="64"/>
      <c r="AT28" s="64"/>
      <c r="AU28" s="64"/>
      <c r="AV28" s="64"/>
      <c r="AW28" s="64"/>
      <c r="AX28" s="64"/>
      <c r="AY28" s="64"/>
      <c r="AZ28" s="64"/>
      <c r="BA28" s="65"/>
      <c r="BB28" s="66"/>
      <c r="BC28" s="67"/>
      <c r="BD28" s="133" t="str">
        <f>IF(ISERROR(COUNTIF($D28:$Y28,1)/(COUNTIF($D28:$Y28,1)+COUNTIF($D28:$Y28,0))),"",COUNTIF($D28:$Y28,1)/(COUNTIF($D28:$Y28,1)+COUNTIF($D28:$Y28,0))*General!$D$7*10)</f>
        <v/>
      </c>
      <c r="BE28" s="134" t="str">
        <f>IFERROR(AVERAGE($Z28:$AQ28) * General!$E$7, "")</f>
        <v/>
      </c>
      <c r="BF28" s="135" t="str">
        <f>IFERROR(AVERAGE($AR28:$BA28) * General!$F$7, "")</f>
        <v/>
      </c>
      <c r="BG28" s="136" t="str">
        <f>IFERROR(AVERAGE($BB28) * General!$G$7, "")</f>
        <v/>
      </c>
      <c r="BH28" s="137" t="str">
        <f>IFERROR(AVERAGE($BC28) * General!$H$7, "")</f>
        <v/>
      </c>
      <c r="BI28" s="158">
        <f t="shared" si="0"/>
        <v>0</v>
      </c>
      <c r="BJ28" s="164" t="str">
        <f t="shared" si="1"/>
        <v/>
      </c>
    </row>
    <row r="29" spans="1:62" ht="15.75" thickTop="1">
      <c r="A29" s="121">
        <f>IF(General!A30="","",General!A30)</f>
        <v>21</v>
      </c>
      <c r="B29" s="121" t="str">
        <f>IF(General!B30="","",General!B30)</f>
        <v/>
      </c>
      <c r="C29" s="121" t="str">
        <f>IF(General!C30="","",General!C30)</f>
        <v/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111"/>
      <c r="W29" s="117"/>
      <c r="X29" s="102"/>
      <c r="Y29" s="103"/>
      <c r="Z29" s="70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2"/>
      <c r="AR29" s="73"/>
      <c r="AS29" s="74"/>
      <c r="AT29" s="74"/>
      <c r="AU29" s="74"/>
      <c r="AV29" s="74"/>
      <c r="AW29" s="74"/>
      <c r="AX29" s="74"/>
      <c r="AY29" s="74"/>
      <c r="AZ29" s="74"/>
      <c r="BA29" s="75"/>
      <c r="BB29" s="76"/>
      <c r="BC29" s="47"/>
      <c r="BD29" s="123" t="str">
        <f>IF(ISERROR(COUNTIF($D29:$Y29,1)/(COUNTIF($D29:$Y29,1)+COUNTIF($D29:$Y29,0))),"",COUNTIF($D29:$Y29,1)/(COUNTIF($D29:$Y29,1)+COUNTIF($D29:$Y29,0))*General!$D$7*10)</f>
        <v/>
      </c>
      <c r="BE29" s="124" t="str">
        <f>IFERROR(AVERAGE($Z29:$AQ29) * General!$E$7, "")</f>
        <v/>
      </c>
      <c r="BF29" s="125" t="str">
        <f>IFERROR(AVERAGE($AR29:$BA29) * General!$F$7, "")</f>
        <v/>
      </c>
      <c r="BG29" s="126" t="str">
        <f>IFERROR(AVERAGE($BB29) * General!$G$7, "")</f>
        <v/>
      </c>
      <c r="BH29" s="127" t="str">
        <f>IFERROR(AVERAGE($BC29) * General!$H$7, "")</f>
        <v/>
      </c>
      <c r="BI29" s="156">
        <f t="shared" si="0"/>
        <v>0</v>
      </c>
      <c r="BJ29" s="161" t="str">
        <f t="shared" si="1"/>
        <v/>
      </c>
    </row>
    <row r="30" spans="1:62" ht="15">
      <c r="A30" s="23">
        <f>IF(General!A31="","",General!A31)</f>
        <v>22</v>
      </c>
      <c r="B30" s="23" t="str">
        <f>IF(General!B31="","",General!B31)</f>
        <v/>
      </c>
      <c r="C30" s="23" t="str">
        <f>IF(General!C31="","",General!C31)</f>
        <v/>
      </c>
      <c r="D30" s="4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109"/>
      <c r="W30" s="115"/>
      <c r="X30" s="98"/>
      <c r="Y30" s="99"/>
      <c r="Z30" s="50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2"/>
      <c r="AR30" s="53"/>
      <c r="AS30" s="54"/>
      <c r="AT30" s="54"/>
      <c r="AU30" s="54"/>
      <c r="AV30" s="54"/>
      <c r="AW30" s="54"/>
      <c r="AX30" s="54"/>
      <c r="AY30" s="54"/>
      <c r="AZ30" s="54"/>
      <c r="BA30" s="55"/>
      <c r="BB30" s="56"/>
      <c r="BC30" s="57"/>
      <c r="BD30" s="128" t="str">
        <f>IF(ISERROR(COUNTIF($D30:$Y30,1)/(COUNTIF($D30:$Y30,1)+COUNTIF($D30:$Y30,0))),"",COUNTIF($D30:$Y30,1)/(COUNTIF($D30:$Y30,1)+COUNTIF($D30:$Y30,0))*General!$D$7*10)</f>
        <v/>
      </c>
      <c r="BE30" s="129" t="str">
        <f>IFERROR(AVERAGE($Z30:$AQ30) * General!$E$7, "")</f>
        <v/>
      </c>
      <c r="BF30" s="130" t="str">
        <f>IFERROR(AVERAGE($AR30:$BA30) * General!$F$7, "")</f>
        <v/>
      </c>
      <c r="BG30" s="131" t="str">
        <f>IFERROR(AVERAGE($BB30) * General!$G$7, "")</f>
        <v/>
      </c>
      <c r="BH30" s="132" t="str">
        <f>IFERROR(AVERAGE($BC30) * General!$H$7, "")</f>
        <v/>
      </c>
      <c r="BI30" s="157">
        <f t="shared" si="0"/>
        <v>0</v>
      </c>
      <c r="BJ30" s="162" t="str">
        <f t="shared" si="1"/>
        <v/>
      </c>
    </row>
    <row r="31" spans="1:62" ht="15">
      <c r="A31" s="23">
        <f>IF(General!A32="","",General!A32)</f>
        <v>23</v>
      </c>
      <c r="B31" s="23" t="str">
        <f>IF(General!B32="","",General!B32)</f>
        <v/>
      </c>
      <c r="C31" s="23" t="str">
        <f>IF(General!C32="","",General!C32)</f>
        <v/>
      </c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109"/>
      <c r="W31" s="115"/>
      <c r="X31" s="98"/>
      <c r="Y31" s="99"/>
      <c r="Z31" s="50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2"/>
      <c r="AR31" s="53"/>
      <c r="AS31" s="54"/>
      <c r="AT31" s="54"/>
      <c r="AU31" s="54"/>
      <c r="AV31" s="54"/>
      <c r="AW31" s="54"/>
      <c r="AX31" s="54"/>
      <c r="AY31" s="54"/>
      <c r="AZ31" s="54"/>
      <c r="BA31" s="55"/>
      <c r="BB31" s="56"/>
      <c r="BC31" s="57"/>
      <c r="BD31" s="128" t="str">
        <f>IF(ISERROR(COUNTIF($D31:$Y31,1)/(COUNTIF($D31:$Y31,1)+COUNTIF($D31:$Y31,0))),"",COUNTIF($D31:$Y31,1)/(COUNTIF($D31:$Y31,1)+COUNTIF($D31:$Y31,0))*General!$D$7*10)</f>
        <v/>
      </c>
      <c r="BE31" s="129" t="str">
        <f>IFERROR(AVERAGE($Z31:$AQ31) * General!$E$7, "")</f>
        <v/>
      </c>
      <c r="BF31" s="130" t="str">
        <f>IFERROR(AVERAGE($AR31:$BA31) * General!$F$7, "")</f>
        <v/>
      </c>
      <c r="BG31" s="131" t="str">
        <f>IFERROR(AVERAGE($BB31) * General!$G$7, "")</f>
        <v/>
      </c>
      <c r="BH31" s="132" t="str">
        <f>IFERROR(AVERAGE($BC31) * General!$H$7, "")</f>
        <v/>
      </c>
      <c r="BI31" s="157">
        <f t="shared" si="0"/>
        <v>0</v>
      </c>
      <c r="BJ31" s="162" t="str">
        <f t="shared" si="1"/>
        <v/>
      </c>
    </row>
    <row r="32" spans="1:62" ht="15">
      <c r="A32" s="23">
        <f>IF(General!A33="","",General!A33)</f>
        <v>24</v>
      </c>
      <c r="B32" s="23" t="str">
        <f>IF(General!B33="","",General!B33)</f>
        <v/>
      </c>
      <c r="C32" s="23" t="str">
        <f>IF(General!C33="","",General!C33)</f>
        <v/>
      </c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109"/>
      <c r="W32" s="115"/>
      <c r="X32" s="98"/>
      <c r="Y32" s="99"/>
      <c r="Z32" s="50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2"/>
      <c r="AR32" s="53"/>
      <c r="AS32" s="54"/>
      <c r="AT32" s="54"/>
      <c r="AU32" s="54"/>
      <c r="AV32" s="54"/>
      <c r="AW32" s="54"/>
      <c r="AX32" s="54"/>
      <c r="AY32" s="54"/>
      <c r="AZ32" s="54"/>
      <c r="BA32" s="55"/>
      <c r="BB32" s="56"/>
      <c r="BC32" s="57"/>
      <c r="BD32" s="128" t="str">
        <f>IF(ISERROR(COUNTIF($D32:$Y32,1)/(COUNTIF($D32:$Y32,1)+COUNTIF($D32:$Y32,0))),"",COUNTIF($D32:$Y32,1)/(COUNTIF($D32:$Y32,1)+COUNTIF($D32:$Y32,0))*General!$D$7*10)</f>
        <v/>
      </c>
      <c r="BE32" s="129" t="str">
        <f>IFERROR(AVERAGE($Z32:$AQ32) * General!$E$7, "")</f>
        <v/>
      </c>
      <c r="BF32" s="130" t="str">
        <f>IFERROR(AVERAGE($AR32:$BA32) * General!$F$7, "")</f>
        <v/>
      </c>
      <c r="BG32" s="131" t="str">
        <f>IFERROR(AVERAGE($BB32) * General!$G$7, "")</f>
        <v/>
      </c>
      <c r="BH32" s="132" t="str">
        <f>IFERROR(AVERAGE($BC32) * General!$H$7, "")</f>
        <v/>
      </c>
      <c r="BI32" s="157">
        <f t="shared" si="0"/>
        <v>0</v>
      </c>
      <c r="BJ32" s="162" t="str">
        <f t="shared" si="1"/>
        <v/>
      </c>
    </row>
    <row r="33" spans="1:62" ht="15.75" thickBot="1">
      <c r="A33" s="26">
        <f>IF(General!A34="","",General!A34)</f>
        <v>25</v>
      </c>
      <c r="B33" s="26" t="str">
        <f>IF(General!B34="","",General!B34)</f>
        <v/>
      </c>
      <c r="C33" s="26" t="str">
        <f>IF(General!C34="","",General!C34)</f>
        <v/>
      </c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110"/>
      <c r="W33" s="116"/>
      <c r="X33" s="100"/>
      <c r="Y33" s="101"/>
      <c r="Z33" s="60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2"/>
      <c r="AR33" s="63"/>
      <c r="AS33" s="64"/>
      <c r="AT33" s="64"/>
      <c r="AU33" s="64"/>
      <c r="AV33" s="64"/>
      <c r="AW33" s="64"/>
      <c r="AX33" s="64"/>
      <c r="AY33" s="64"/>
      <c r="AZ33" s="64"/>
      <c r="BA33" s="65"/>
      <c r="BB33" s="66"/>
      <c r="BC33" s="67"/>
      <c r="BD33" s="133" t="str">
        <f>IF(ISERROR(COUNTIF($D33:$Y33,1)/(COUNTIF($D33:$Y33,1)+COUNTIF($D33:$Y33,0))),"",COUNTIF($D33:$Y33,1)/(COUNTIF($D33:$Y33,1)+COUNTIF($D33:$Y33,0))*General!$D$7*10)</f>
        <v/>
      </c>
      <c r="BE33" s="134" t="str">
        <f>IFERROR(AVERAGE($Z33:$AQ33) * General!$E$7, "")</f>
        <v/>
      </c>
      <c r="BF33" s="135" t="str">
        <f>IFERROR(AVERAGE($AR33:$BA33) * General!$F$7, "")</f>
        <v/>
      </c>
      <c r="BG33" s="136" t="str">
        <f>IFERROR(AVERAGE($BB33) * General!$G$7, "")</f>
        <v/>
      </c>
      <c r="BH33" s="137" t="str">
        <f>IFERROR(AVERAGE($BC33) * General!$H$7, "")</f>
        <v/>
      </c>
      <c r="BI33" s="158">
        <f t="shared" si="0"/>
        <v>0</v>
      </c>
      <c r="BJ33" s="164" t="str">
        <f t="shared" si="1"/>
        <v/>
      </c>
    </row>
    <row r="34" spans="1:62" ht="15.75" thickTop="1">
      <c r="A34" s="121">
        <f>IF(General!A35="","",General!A35)</f>
        <v>26</v>
      </c>
      <c r="B34" s="121" t="str">
        <f>IF(General!B35="","",General!B35)</f>
        <v/>
      </c>
      <c r="C34" s="121" t="str">
        <f>IF(General!C35="","",General!C35)</f>
        <v/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111"/>
      <c r="W34" s="117"/>
      <c r="X34" s="102"/>
      <c r="Y34" s="103"/>
      <c r="Z34" s="70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2"/>
      <c r="AR34" s="73"/>
      <c r="AS34" s="74"/>
      <c r="AT34" s="74"/>
      <c r="AU34" s="74"/>
      <c r="AV34" s="74"/>
      <c r="AW34" s="74"/>
      <c r="AX34" s="74"/>
      <c r="AY34" s="74"/>
      <c r="AZ34" s="74"/>
      <c r="BA34" s="75"/>
      <c r="BB34" s="76"/>
      <c r="BC34" s="47"/>
      <c r="BD34" s="123" t="str">
        <f>IF(ISERROR(COUNTIF($D34:$Y34,1)/(COUNTIF($D34:$Y34,1)+COUNTIF($D34:$Y34,0))),"",COUNTIF($D34:$Y34,1)/(COUNTIF($D34:$Y34,1)+COUNTIF($D34:$Y34,0))*General!$D$7*10)</f>
        <v/>
      </c>
      <c r="BE34" s="124" t="str">
        <f>IFERROR(AVERAGE($Z34:$AQ34) * General!$E$7, "")</f>
        <v/>
      </c>
      <c r="BF34" s="125" t="str">
        <f>IFERROR(AVERAGE($AR34:$BA34) * General!$F$7, "")</f>
        <v/>
      </c>
      <c r="BG34" s="126" t="str">
        <f>IFERROR(AVERAGE($BB34) * General!$G$7, "")</f>
        <v/>
      </c>
      <c r="BH34" s="127" t="str">
        <f>IFERROR(AVERAGE($BC34) * General!$H$7, "")</f>
        <v/>
      </c>
      <c r="BI34" s="156">
        <f t="shared" si="0"/>
        <v>0</v>
      </c>
      <c r="BJ34" s="161" t="str">
        <f t="shared" si="1"/>
        <v/>
      </c>
    </row>
    <row r="35" spans="1:62" ht="15">
      <c r="A35" s="23">
        <f>IF(General!A36="","",General!A36)</f>
        <v>27</v>
      </c>
      <c r="B35" s="23" t="str">
        <f>IF(General!B36="","",General!B36)</f>
        <v/>
      </c>
      <c r="C35" s="23" t="str">
        <f>IF(General!C36="","",General!C36)</f>
        <v/>
      </c>
      <c r="D35" s="48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109"/>
      <c r="W35" s="115"/>
      <c r="X35" s="98"/>
      <c r="Y35" s="99"/>
      <c r="Z35" s="50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2"/>
      <c r="AR35" s="53"/>
      <c r="AS35" s="54"/>
      <c r="AT35" s="54"/>
      <c r="AU35" s="54"/>
      <c r="AV35" s="54"/>
      <c r="AW35" s="54"/>
      <c r="AX35" s="54"/>
      <c r="AY35" s="54"/>
      <c r="AZ35" s="54"/>
      <c r="BA35" s="55"/>
      <c r="BB35" s="56"/>
      <c r="BC35" s="57"/>
      <c r="BD35" s="128" t="str">
        <f>IF(ISERROR(COUNTIF($D35:$Y35,1)/(COUNTIF($D35:$Y35,1)+COUNTIF($D35:$Y35,0))),"",COUNTIF($D35:$Y35,1)/(COUNTIF($D35:$Y35,1)+COUNTIF($D35:$Y35,0))*General!$D$7*10)</f>
        <v/>
      </c>
      <c r="BE35" s="129" t="str">
        <f>IFERROR(AVERAGE($Z35:$AQ35) * General!$E$7, "")</f>
        <v/>
      </c>
      <c r="BF35" s="130" t="str">
        <f>IFERROR(AVERAGE($AR35:$BA35) * General!$F$7, "")</f>
        <v/>
      </c>
      <c r="BG35" s="131" t="str">
        <f>IFERROR(AVERAGE($BB35) * General!$G$7, "")</f>
        <v/>
      </c>
      <c r="BH35" s="132" t="str">
        <f>IFERROR(AVERAGE($BC35) * General!$H$7, "")</f>
        <v/>
      </c>
      <c r="BI35" s="157">
        <f t="shared" si="0"/>
        <v>0</v>
      </c>
      <c r="BJ35" s="162" t="str">
        <f t="shared" si="1"/>
        <v/>
      </c>
    </row>
    <row r="36" spans="1:62" ht="15">
      <c r="A36" s="23">
        <f>IF(General!A37="","",General!A37)</f>
        <v>28</v>
      </c>
      <c r="B36" s="23" t="str">
        <f>IF(General!B37="","",General!B37)</f>
        <v/>
      </c>
      <c r="C36" s="23" t="str">
        <f>IF(General!C37="","",General!C37)</f>
        <v/>
      </c>
      <c r="D36" s="48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109"/>
      <c r="W36" s="115"/>
      <c r="X36" s="98"/>
      <c r="Y36" s="99"/>
      <c r="Z36" s="5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2"/>
      <c r="AR36" s="53"/>
      <c r="AS36" s="54"/>
      <c r="AT36" s="54"/>
      <c r="AU36" s="54"/>
      <c r="AV36" s="54"/>
      <c r="AW36" s="54"/>
      <c r="AX36" s="54"/>
      <c r="AY36" s="54"/>
      <c r="AZ36" s="54"/>
      <c r="BA36" s="55"/>
      <c r="BB36" s="56"/>
      <c r="BC36" s="57"/>
      <c r="BD36" s="128" t="str">
        <f>IF(ISERROR(COUNTIF($D36:$Y36,1)/(COUNTIF($D36:$Y36,1)+COUNTIF($D36:$Y36,0))),"",COUNTIF($D36:$Y36,1)/(COUNTIF($D36:$Y36,1)+COUNTIF($D36:$Y36,0))*General!$D$7*10)</f>
        <v/>
      </c>
      <c r="BE36" s="129" t="str">
        <f>IFERROR(AVERAGE($Z36:$AQ36) * General!$E$7, "")</f>
        <v/>
      </c>
      <c r="BF36" s="130" t="str">
        <f>IFERROR(AVERAGE($AR36:$BA36) * General!$F$7, "")</f>
        <v/>
      </c>
      <c r="BG36" s="131" t="str">
        <f>IFERROR(AVERAGE($BB36) * General!$G$7, "")</f>
        <v/>
      </c>
      <c r="BH36" s="132" t="str">
        <f>IFERROR(AVERAGE($BC36) * General!$H$7, "")</f>
        <v/>
      </c>
      <c r="BI36" s="157">
        <f t="shared" si="0"/>
        <v>0</v>
      </c>
      <c r="BJ36" s="162" t="str">
        <f t="shared" si="1"/>
        <v/>
      </c>
    </row>
    <row r="37" spans="1:62" ht="15">
      <c r="A37" s="23">
        <f>IF(General!A38="","",General!A38)</f>
        <v>29</v>
      </c>
      <c r="B37" s="23" t="str">
        <f>IF(General!B38="","",General!B38)</f>
        <v/>
      </c>
      <c r="C37" s="23" t="str">
        <f>IF(General!C38="","",General!C38)</f>
        <v/>
      </c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09"/>
      <c r="W37" s="115"/>
      <c r="X37" s="98"/>
      <c r="Y37" s="99"/>
      <c r="Z37" s="50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2"/>
      <c r="AR37" s="53"/>
      <c r="AS37" s="54"/>
      <c r="AT37" s="54"/>
      <c r="AU37" s="54"/>
      <c r="AV37" s="54"/>
      <c r="AW37" s="54"/>
      <c r="AX37" s="54"/>
      <c r="AY37" s="54"/>
      <c r="AZ37" s="54"/>
      <c r="BA37" s="55"/>
      <c r="BB37" s="56"/>
      <c r="BC37" s="57"/>
      <c r="BD37" s="128" t="str">
        <f>IF(ISERROR(COUNTIF($D37:$Y37,1)/(COUNTIF($D37:$Y37,1)+COUNTIF($D37:$Y37,0))),"",COUNTIF($D37:$Y37,1)/(COUNTIF($D37:$Y37,1)+COUNTIF($D37:$Y37,0))*General!$D$7*10)</f>
        <v/>
      </c>
      <c r="BE37" s="129" t="str">
        <f>IFERROR(AVERAGE($Z37:$AQ37) * General!$E$7, "")</f>
        <v/>
      </c>
      <c r="BF37" s="130" t="str">
        <f>IFERROR(AVERAGE($AR37:$BA37) * General!$F$7, "")</f>
        <v/>
      </c>
      <c r="BG37" s="131" t="str">
        <f>IFERROR(AVERAGE($BB37) * General!$G$7, "")</f>
        <v/>
      </c>
      <c r="BH37" s="132" t="str">
        <f>IFERROR(AVERAGE($BC37) * General!$H$7, "")</f>
        <v/>
      </c>
      <c r="BI37" s="157">
        <f t="shared" si="0"/>
        <v>0</v>
      </c>
      <c r="BJ37" s="162" t="str">
        <f t="shared" si="1"/>
        <v/>
      </c>
    </row>
    <row r="38" spans="1:62" ht="15.75" thickBot="1">
      <c r="A38" s="26">
        <f>IF(General!A39="","",General!A39)</f>
        <v>30</v>
      </c>
      <c r="B38" s="26" t="str">
        <f>IF(General!B39="","",General!B39)</f>
        <v/>
      </c>
      <c r="C38" s="26" t="str">
        <f>IF(General!C39="","",General!C39)</f>
        <v/>
      </c>
      <c r="D38" s="58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110"/>
      <c r="W38" s="116"/>
      <c r="X38" s="100"/>
      <c r="Y38" s="101"/>
      <c r="Z38" s="60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63"/>
      <c r="AS38" s="64"/>
      <c r="AT38" s="64"/>
      <c r="AU38" s="64"/>
      <c r="AV38" s="64"/>
      <c r="AW38" s="64"/>
      <c r="AX38" s="64"/>
      <c r="AY38" s="64"/>
      <c r="AZ38" s="64"/>
      <c r="BA38" s="65"/>
      <c r="BB38" s="66"/>
      <c r="BC38" s="67"/>
      <c r="BD38" s="133" t="str">
        <f>IF(ISERROR(COUNTIF($D38:$Y38,1)/(COUNTIF($D38:$Y38,1)+COUNTIF($D38:$Y38,0))),"",COUNTIF($D38:$Y38,1)/(COUNTIF($D38:$Y38,1)+COUNTIF($D38:$Y38,0))*General!$D$7*10)</f>
        <v/>
      </c>
      <c r="BE38" s="134" t="str">
        <f>IFERROR(AVERAGE($Z38:$AQ38) * General!$E$7, "")</f>
        <v/>
      </c>
      <c r="BF38" s="135" t="str">
        <f>IFERROR(AVERAGE($AR38:$BA38) * General!$F$7, "")</f>
        <v/>
      </c>
      <c r="BG38" s="136" t="str">
        <f>IFERROR(AVERAGE($BB38) * General!$G$7, "")</f>
        <v/>
      </c>
      <c r="BH38" s="137" t="str">
        <f>IFERROR(AVERAGE($BC38) * General!$H$7, "")</f>
        <v/>
      </c>
      <c r="BI38" s="158">
        <f t="shared" si="0"/>
        <v>0</v>
      </c>
      <c r="BJ38" s="164" t="str">
        <f t="shared" si="1"/>
        <v/>
      </c>
    </row>
    <row r="39" spans="1:62" ht="15.75" thickTop="1">
      <c r="A39" s="121">
        <f>IF(General!A40="","",General!A40)</f>
        <v>31</v>
      </c>
      <c r="B39" s="121" t="str">
        <f>IF(General!B40="","",General!B40)</f>
        <v/>
      </c>
      <c r="C39" s="121" t="str">
        <f>IF(General!C40="","",General!C40)</f>
        <v/>
      </c>
      <c r="D39" s="68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111"/>
      <c r="W39" s="117"/>
      <c r="X39" s="102"/>
      <c r="Y39" s="103"/>
      <c r="Z39" s="70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2"/>
      <c r="AR39" s="73"/>
      <c r="AS39" s="74"/>
      <c r="AT39" s="74"/>
      <c r="AU39" s="74"/>
      <c r="AV39" s="74"/>
      <c r="AW39" s="74"/>
      <c r="AX39" s="74"/>
      <c r="AY39" s="74"/>
      <c r="AZ39" s="74"/>
      <c r="BA39" s="75"/>
      <c r="BB39" s="76"/>
      <c r="BC39" s="47"/>
      <c r="BD39" s="123" t="str">
        <f>IF(ISERROR(COUNTIF($D39:$Y39,1)/(COUNTIF($D39:$Y39,1)+COUNTIF($D39:$Y39,0))),"",COUNTIF($D39:$Y39,1)/(COUNTIF($D39:$Y39,1)+COUNTIF($D39:$Y39,0))*General!$D$7*10)</f>
        <v/>
      </c>
      <c r="BE39" s="124" t="str">
        <f>IFERROR(AVERAGE($Z39:$AQ39) * General!$E$7, "")</f>
        <v/>
      </c>
      <c r="BF39" s="125" t="str">
        <f>IFERROR(AVERAGE($AR39:$BA39) * General!$F$7, "")</f>
        <v/>
      </c>
      <c r="BG39" s="126" t="str">
        <f>IFERROR(AVERAGE($BB39) * General!$G$7, "")</f>
        <v/>
      </c>
      <c r="BH39" s="127" t="str">
        <f>IFERROR(AVERAGE($BC39) * General!$H$7, "")</f>
        <v/>
      </c>
      <c r="BI39" s="156">
        <f t="shared" si="0"/>
        <v>0</v>
      </c>
      <c r="BJ39" s="161" t="str">
        <f t="shared" si="1"/>
        <v/>
      </c>
    </row>
    <row r="40" spans="1:62" ht="15">
      <c r="A40" s="23">
        <f>IF(General!A41="","",General!A41)</f>
        <v>32</v>
      </c>
      <c r="B40" s="23" t="str">
        <f>IF(General!B41="","",General!B41)</f>
        <v/>
      </c>
      <c r="C40" s="23" t="str">
        <f>IF(General!C41="","",General!C41)</f>
        <v/>
      </c>
      <c r="D40" s="48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109"/>
      <c r="W40" s="115"/>
      <c r="X40" s="98"/>
      <c r="Y40" s="99"/>
      <c r="Z40" s="50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2"/>
      <c r="AR40" s="53"/>
      <c r="AS40" s="54"/>
      <c r="AT40" s="54"/>
      <c r="AU40" s="54"/>
      <c r="AV40" s="54"/>
      <c r="AW40" s="54"/>
      <c r="AX40" s="54"/>
      <c r="AY40" s="54"/>
      <c r="AZ40" s="54"/>
      <c r="BA40" s="55"/>
      <c r="BB40" s="56"/>
      <c r="BC40" s="57"/>
      <c r="BD40" s="128" t="str">
        <f>IF(ISERROR(COUNTIF($D40:$Y40,1)/(COUNTIF($D40:$Y40,1)+COUNTIF($D40:$Y40,0))),"",COUNTIF($D40:$Y40,1)/(COUNTIF($D40:$Y40,1)+COUNTIF($D40:$Y40,0))*General!$D$7*10)</f>
        <v/>
      </c>
      <c r="BE40" s="129" t="str">
        <f>IFERROR(AVERAGE($Z40:$AQ40) * General!$E$7, "")</f>
        <v/>
      </c>
      <c r="BF40" s="130" t="str">
        <f>IFERROR(AVERAGE($AR40:$BA40) * General!$F$7, "")</f>
        <v/>
      </c>
      <c r="BG40" s="131" t="str">
        <f>IFERROR(AVERAGE($BB40) * General!$G$7, "")</f>
        <v/>
      </c>
      <c r="BH40" s="132" t="str">
        <f>IFERROR(AVERAGE($BC40) * General!$H$7, "")</f>
        <v/>
      </c>
      <c r="BI40" s="157">
        <f t="shared" si="0"/>
        <v>0</v>
      </c>
      <c r="BJ40" s="162" t="str">
        <f t="shared" si="1"/>
        <v/>
      </c>
    </row>
    <row r="41" spans="1:62" ht="15">
      <c r="A41" s="23">
        <f>IF(General!A42="","",General!A42)</f>
        <v>33</v>
      </c>
      <c r="B41" s="23" t="str">
        <f>IF(General!B42="","",General!B42)</f>
        <v/>
      </c>
      <c r="C41" s="23" t="str">
        <f>IF(General!C42="","",General!C42)</f>
        <v/>
      </c>
      <c r="D41" s="48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109"/>
      <c r="W41" s="115"/>
      <c r="X41" s="98"/>
      <c r="Y41" s="99"/>
      <c r="Z41" s="50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2"/>
      <c r="AR41" s="53"/>
      <c r="AS41" s="54"/>
      <c r="AT41" s="54"/>
      <c r="AU41" s="54"/>
      <c r="AV41" s="54"/>
      <c r="AW41" s="54"/>
      <c r="AX41" s="54"/>
      <c r="AY41" s="54"/>
      <c r="AZ41" s="54"/>
      <c r="BA41" s="55"/>
      <c r="BB41" s="56"/>
      <c r="BC41" s="57"/>
      <c r="BD41" s="128" t="str">
        <f>IF(ISERROR(COUNTIF($D41:$Y41,1)/(COUNTIF($D41:$Y41,1)+COUNTIF($D41:$Y41,0))),"",COUNTIF($D41:$Y41,1)/(COUNTIF($D41:$Y41,1)+COUNTIF($D41:$Y41,0))*General!$D$7*10)</f>
        <v/>
      </c>
      <c r="BE41" s="129" t="str">
        <f>IFERROR(AVERAGE($Z41:$AQ41) * General!$E$7, "")</f>
        <v/>
      </c>
      <c r="BF41" s="130" t="str">
        <f>IFERROR(AVERAGE($AR41:$BA41) * General!$F$7, "")</f>
        <v/>
      </c>
      <c r="BG41" s="131" t="str">
        <f>IFERROR(AVERAGE($BB41) * General!$G$7, "")</f>
        <v/>
      </c>
      <c r="BH41" s="132" t="str">
        <f>IFERROR(AVERAGE($BC41) * General!$H$7, "")</f>
        <v/>
      </c>
      <c r="BI41" s="157">
        <f t="shared" si="0"/>
        <v>0</v>
      </c>
      <c r="BJ41" s="162" t="str">
        <f t="shared" si="1"/>
        <v/>
      </c>
    </row>
    <row r="42" spans="1:62" ht="15">
      <c r="A42" s="23">
        <f>IF(General!A43="","",General!A43)</f>
        <v>34</v>
      </c>
      <c r="B42" s="23" t="str">
        <f>IF(General!B43="","",General!B43)</f>
        <v/>
      </c>
      <c r="C42" s="23" t="str">
        <f>IF(General!C43="","",General!C43)</f>
        <v/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109"/>
      <c r="W42" s="115"/>
      <c r="X42" s="98"/>
      <c r="Y42" s="99"/>
      <c r="Z42" s="50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2"/>
      <c r="AR42" s="53"/>
      <c r="AS42" s="54"/>
      <c r="AT42" s="54"/>
      <c r="AU42" s="54"/>
      <c r="AV42" s="54"/>
      <c r="AW42" s="54"/>
      <c r="AX42" s="54"/>
      <c r="AY42" s="54"/>
      <c r="AZ42" s="54"/>
      <c r="BA42" s="55"/>
      <c r="BB42" s="56"/>
      <c r="BC42" s="57"/>
      <c r="BD42" s="128" t="str">
        <f>IF(ISERROR(COUNTIF($D42:$Y42,1)/(COUNTIF($D42:$Y42,1)+COUNTIF($D42:$Y42,0))),"",COUNTIF($D42:$Y42,1)/(COUNTIF($D42:$Y42,1)+COUNTIF($D42:$Y42,0))*General!$D$7*10)</f>
        <v/>
      </c>
      <c r="BE42" s="129" t="str">
        <f>IFERROR(AVERAGE($Z42:$AQ42) * General!$E$7, "")</f>
        <v/>
      </c>
      <c r="BF42" s="130" t="str">
        <f>IFERROR(AVERAGE($AR42:$BA42) * General!$F$7, "")</f>
        <v/>
      </c>
      <c r="BG42" s="131" t="str">
        <f>IFERROR(AVERAGE($BB42) * General!$G$7, "")</f>
        <v/>
      </c>
      <c r="BH42" s="132" t="str">
        <f>IFERROR(AVERAGE($BC42) * General!$H$7, "")</f>
        <v/>
      </c>
      <c r="BI42" s="157">
        <f t="shared" si="0"/>
        <v>0</v>
      </c>
      <c r="BJ42" s="162" t="str">
        <f t="shared" si="1"/>
        <v/>
      </c>
    </row>
    <row r="43" spans="1:62" ht="15.75" thickBot="1">
      <c r="A43" s="26">
        <f>IF(General!A44="","",General!A44)</f>
        <v>35</v>
      </c>
      <c r="B43" s="26" t="str">
        <f>IF(General!B44="","",General!B44)</f>
        <v/>
      </c>
      <c r="C43" s="26" t="str">
        <f>IF(General!C44="","",General!C44)</f>
        <v/>
      </c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110"/>
      <c r="W43" s="116"/>
      <c r="X43" s="100"/>
      <c r="Y43" s="101"/>
      <c r="Z43" s="60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2"/>
      <c r="AR43" s="63"/>
      <c r="AS43" s="64"/>
      <c r="AT43" s="64"/>
      <c r="AU43" s="64"/>
      <c r="AV43" s="64"/>
      <c r="AW43" s="64"/>
      <c r="AX43" s="64"/>
      <c r="AY43" s="64"/>
      <c r="AZ43" s="64"/>
      <c r="BA43" s="65"/>
      <c r="BB43" s="66"/>
      <c r="BC43" s="67"/>
      <c r="BD43" s="133" t="str">
        <f>IF(ISERROR(COUNTIF($D43:$Y43,1)/(COUNTIF($D43:$Y43,1)+COUNTIF($D43:$Y43,0))),"",COUNTIF($D43:$Y43,1)/(COUNTIF($D43:$Y43,1)+COUNTIF($D43:$Y43,0))*General!$D$7*10)</f>
        <v/>
      </c>
      <c r="BE43" s="134" t="str">
        <f>IFERROR(AVERAGE($Z43:$AQ43) * General!$E$7, "")</f>
        <v/>
      </c>
      <c r="BF43" s="135" t="str">
        <f>IFERROR(AVERAGE($AR43:$BA43) * General!$F$7, "")</f>
        <v/>
      </c>
      <c r="BG43" s="136" t="str">
        <f>IFERROR(AVERAGE($BB43) * General!$G$7, "")</f>
        <v/>
      </c>
      <c r="BH43" s="137" t="str">
        <f>IFERROR(AVERAGE($BC43) * General!$H$7, "")</f>
        <v/>
      </c>
      <c r="BI43" s="158">
        <f t="shared" si="0"/>
        <v>0</v>
      </c>
      <c r="BJ43" s="164" t="str">
        <f t="shared" si="1"/>
        <v/>
      </c>
    </row>
    <row r="44" spans="1:62" ht="15.75" thickTop="1">
      <c r="A44" s="121">
        <f>IF(General!A45="","",General!A45)</f>
        <v>36</v>
      </c>
      <c r="B44" s="121" t="str">
        <f>IF(General!B45="","",General!B45)</f>
        <v/>
      </c>
      <c r="C44" s="121" t="str">
        <f>IF(General!C45="","",General!C45)</f>
        <v/>
      </c>
      <c r="D44" s="68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111"/>
      <c r="W44" s="117"/>
      <c r="X44" s="102"/>
      <c r="Y44" s="103"/>
      <c r="Z44" s="70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2"/>
      <c r="AR44" s="73"/>
      <c r="AS44" s="74"/>
      <c r="AT44" s="74"/>
      <c r="AU44" s="74"/>
      <c r="AV44" s="74"/>
      <c r="AW44" s="74"/>
      <c r="AX44" s="74"/>
      <c r="AY44" s="74"/>
      <c r="AZ44" s="74"/>
      <c r="BA44" s="75"/>
      <c r="BB44" s="76"/>
      <c r="BC44" s="47"/>
      <c r="BD44" s="123" t="str">
        <f>IF(ISERROR(COUNTIF($D44:$Y44,1)/(COUNTIF($D44:$Y44,1)+COUNTIF($D44:$Y44,0))),"",COUNTIF($D44:$Y44,1)/(COUNTIF($D44:$Y44,1)+COUNTIF($D44:$Y44,0))*General!$D$7*10)</f>
        <v/>
      </c>
      <c r="BE44" s="124" t="str">
        <f>IFERROR(AVERAGE($Z44:$AQ44) * General!$E$7, "")</f>
        <v/>
      </c>
      <c r="BF44" s="125" t="str">
        <f>IFERROR(AVERAGE($AR44:$BA44) * General!$F$7, "")</f>
        <v/>
      </c>
      <c r="BG44" s="126" t="str">
        <f>IFERROR(AVERAGE($BB44) * General!$G$7, "")</f>
        <v/>
      </c>
      <c r="BH44" s="127" t="str">
        <f>IFERROR(AVERAGE($BC44) * General!$H$7, "")</f>
        <v/>
      </c>
      <c r="BI44" s="156">
        <f t="shared" si="0"/>
        <v>0</v>
      </c>
      <c r="BJ44" s="161" t="str">
        <f t="shared" si="1"/>
        <v/>
      </c>
    </row>
    <row r="45" spans="1:62" ht="15">
      <c r="A45" s="23">
        <f>IF(General!A46="","",General!A46)</f>
        <v>37</v>
      </c>
      <c r="B45" s="23" t="str">
        <f>IF(General!B46="","",General!B46)</f>
        <v/>
      </c>
      <c r="C45" s="23" t="str">
        <f>IF(General!C46="","",General!C46)</f>
        <v/>
      </c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109"/>
      <c r="W45" s="115"/>
      <c r="X45" s="98"/>
      <c r="Y45" s="99"/>
      <c r="Z45" s="50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2"/>
      <c r="AR45" s="53"/>
      <c r="AS45" s="54"/>
      <c r="AT45" s="54"/>
      <c r="AU45" s="54"/>
      <c r="AV45" s="54"/>
      <c r="AW45" s="54"/>
      <c r="AX45" s="54"/>
      <c r="AY45" s="54"/>
      <c r="AZ45" s="54"/>
      <c r="BA45" s="55"/>
      <c r="BB45" s="56"/>
      <c r="BC45" s="57"/>
      <c r="BD45" s="128" t="str">
        <f>IF(ISERROR(COUNTIF($D45:$Y45,1)/(COUNTIF($D45:$Y45,1)+COUNTIF($D45:$Y45,0))),"",COUNTIF($D45:$Y45,1)/(COUNTIF($D45:$Y45,1)+COUNTIF($D45:$Y45,0))*General!$D$7*10)</f>
        <v/>
      </c>
      <c r="BE45" s="129" t="str">
        <f>IFERROR(AVERAGE($Z45:$AQ45) * General!$E$7, "")</f>
        <v/>
      </c>
      <c r="BF45" s="130" t="str">
        <f>IFERROR(AVERAGE($AR45:$BA45) * General!$F$7, "")</f>
        <v/>
      </c>
      <c r="BG45" s="131" t="str">
        <f>IFERROR(AVERAGE($BB45) * General!$G$7, "")</f>
        <v/>
      </c>
      <c r="BH45" s="132" t="str">
        <f>IFERROR(AVERAGE($BC45) * General!$H$7, "")</f>
        <v/>
      </c>
      <c r="BI45" s="157">
        <f t="shared" si="0"/>
        <v>0</v>
      </c>
      <c r="BJ45" s="162" t="str">
        <f t="shared" si="1"/>
        <v/>
      </c>
    </row>
    <row r="46" spans="1:62" ht="15">
      <c r="A46" s="23">
        <f>IF(General!A47="","",General!A47)</f>
        <v>38</v>
      </c>
      <c r="B46" s="23" t="str">
        <f>IF(General!B47="","",General!B47)</f>
        <v/>
      </c>
      <c r="C46" s="23" t="str">
        <f>IF(General!C47="","",General!C47)</f>
        <v/>
      </c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109"/>
      <c r="W46" s="115"/>
      <c r="X46" s="98"/>
      <c r="Y46" s="99"/>
      <c r="Z46" s="50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2"/>
      <c r="AR46" s="53"/>
      <c r="AS46" s="54"/>
      <c r="AT46" s="54"/>
      <c r="AU46" s="54"/>
      <c r="AV46" s="54"/>
      <c r="AW46" s="54"/>
      <c r="AX46" s="54"/>
      <c r="AY46" s="54"/>
      <c r="AZ46" s="54"/>
      <c r="BA46" s="55"/>
      <c r="BB46" s="56"/>
      <c r="BC46" s="57"/>
      <c r="BD46" s="128" t="str">
        <f>IF(ISERROR(COUNTIF($D46:$Y46,1)/(COUNTIF($D46:$Y46,1)+COUNTIF($D46:$Y46,0))),"",COUNTIF($D46:$Y46,1)/(COUNTIF($D46:$Y46,1)+COUNTIF($D46:$Y46,0))*General!$D$7*10)</f>
        <v/>
      </c>
      <c r="BE46" s="129" t="str">
        <f>IFERROR(AVERAGE($Z46:$AQ46) * General!$E$7, "")</f>
        <v/>
      </c>
      <c r="BF46" s="130" t="str">
        <f>IFERROR(AVERAGE($AR46:$BA46) * General!$F$7, "")</f>
        <v/>
      </c>
      <c r="BG46" s="131" t="str">
        <f>IFERROR(AVERAGE($BB46) * General!$G$7, "")</f>
        <v/>
      </c>
      <c r="BH46" s="132" t="str">
        <f>IFERROR(AVERAGE($BC46) * General!$H$7, "")</f>
        <v/>
      </c>
      <c r="BI46" s="157">
        <f t="shared" si="0"/>
        <v>0</v>
      </c>
      <c r="BJ46" s="162" t="str">
        <f t="shared" si="1"/>
        <v/>
      </c>
    </row>
    <row r="47" spans="1:62" ht="15">
      <c r="A47" s="23" t="str">
        <f>IF(General!A48="","",General!A48)</f>
        <v/>
      </c>
      <c r="B47" s="23" t="str">
        <f>IF(General!B48="","",General!B48)</f>
        <v/>
      </c>
      <c r="C47" s="23" t="str">
        <f>IF(General!C48="","",General!C48)</f>
        <v/>
      </c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109"/>
      <c r="W47" s="115"/>
      <c r="X47" s="98"/>
      <c r="Y47" s="99"/>
      <c r="Z47" s="50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2"/>
      <c r="AR47" s="53"/>
      <c r="AS47" s="54"/>
      <c r="AT47" s="54"/>
      <c r="AU47" s="54"/>
      <c r="AV47" s="54"/>
      <c r="AW47" s="54"/>
      <c r="AX47" s="54"/>
      <c r="AY47" s="54"/>
      <c r="AZ47" s="54"/>
      <c r="BA47" s="55"/>
      <c r="BB47" s="56"/>
      <c r="BC47" s="57"/>
      <c r="BD47" s="128" t="str">
        <f>IF(ISERROR(COUNTIF($D47:$Y47,1)/(COUNTIF($D47:$Y47,1)+COUNTIF($D47:$Y47,0))),"",COUNTIF($D47:$Y47,1)/(COUNTIF($D47:$Y47,1)+COUNTIF($D47:$Y47,0))*General!$D$7*10)</f>
        <v/>
      </c>
      <c r="BE47" s="129" t="str">
        <f>IFERROR(AVERAGE($Z47:$AQ47) * General!$E$7, "")</f>
        <v/>
      </c>
      <c r="BF47" s="130" t="str">
        <f>IFERROR(AVERAGE($AR47:$BA47) * General!$F$7, "")</f>
        <v/>
      </c>
      <c r="BG47" s="131" t="str">
        <f>IFERROR(AVERAGE($BB47) * General!$G$7, "")</f>
        <v/>
      </c>
      <c r="BH47" s="132" t="str">
        <f>IFERROR(AVERAGE($BC47) * General!$H$7, "")</f>
        <v/>
      </c>
      <c r="BI47" s="157">
        <f t="shared" si="0"/>
        <v>0</v>
      </c>
      <c r="BJ47" s="162" t="str">
        <f t="shared" si="1"/>
        <v/>
      </c>
    </row>
    <row r="48" spans="1:62" ht="15.75" thickBot="1">
      <c r="A48" s="26" t="str">
        <f>IF(General!A49="","",General!A49)</f>
        <v/>
      </c>
      <c r="B48" s="26" t="str">
        <f>IF(General!B49="","",General!B49)</f>
        <v/>
      </c>
      <c r="C48" s="26" t="str">
        <f>IF(General!C49="","",General!C49)</f>
        <v/>
      </c>
      <c r="D48" s="58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110"/>
      <c r="W48" s="116"/>
      <c r="X48" s="100"/>
      <c r="Y48" s="101"/>
      <c r="Z48" s="60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2"/>
      <c r="AR48" s="63"/>
      <c r="AS48" s="64"/>
      <c r="AT48" s="64"/>
      <c r="AU48" s="64"/>
      <c r="AV48" s="64"/>
      <c r="AW48" s="64"/>
      <c r="AX48" s="64"/>
      <c r="AY48" s="64"/>
      <c r="AZ48" s="64"/>
      <c r="BA48" s="65"/>
      <c r="BB48" s="66"/>
      <c r="BC48" s="67"/>
      <c r="BD48" s="133" t="str">
        <f>IF(ISERROR(COUNTIF($D48:$Y48,1)/(COUNTIF($D48:$Y48,1)+COUNTIF($D48:$Y48,0))),"",COUNTIF($D48:$Y48,1)/(COUNTIF($D48:$Y48,1)+COUNTIF($D48:$Y48,0))*General!$D$7*10)</f>
        <v/>
      </c>
      <c r="BE48" s="134" t="str">
        <f>IFERROR(AVERAGE($Z48:$AQ48) * General!$E$7, "")</f>
        <v/>
      </c>
      <c r="BF48" s="135" t="str">
        <f>IFERROR(AVERAGE($AR48:$BA48) * General!$F$7, "")</f>
        <v/>
      </c>
      <c r="BG48" s="136" t="str">
        <f>IFERROR(AVERAGE($BB48) * General!$G$7, "")</f>
        <v/>
      </c>
      <c r="BH48" s="137" t="str">
        <f>IFERROR(AVERAGE($BC48) * General!$H$7, "")</f>
        <v/>
      </c>
      <c r="BI48" s="158">
        <f t="shared" si="0"/>
        <v>0</v>
      </c>
      <c r="BJ48" s="164" t="str">
        <f t="shared" si="1"/>
        <v/>
      </c>
    </row>
    <row r="49" spans="1:62" ht="15.75" thickTop="1">
      <c r="A49" s="19" t="str">
        <f>IF(General!A50="","",General!A50)</f>
        <v/>
      </c>
      <c r="B49" s="19" t="str">
        <f>IF(General!B50="","",General!B50)</f>
        <v/>
      </c>
      <c r="C49" s="19" t="str">
        <f>IF(General!C50="","",General!C50)</f>
        <v/>
      </c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112"/>
      <c r="W49" s="118"/>
      <c r="X49" s="104"/>
      <c r="Y49" s="105"/>
      <c r="Z49" s="79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1"/>
      <c r="AR49" s="82"/>
      <c r="AS49" s="83"/>
      <c r="AT49" s="83"/>
      <c r="AU49" s="83"/>
      <c r="AV49" s="83"/>
      <c r="AW49" s="83"/>
      <c r="AX49" s="83"/>
      <c r="AY49" s="83"/>
      <c r="AZ49" s="83"/>
      <c r="BA49" s="84"/>
      <c r="BB49" s="46"/>
      <c r="BC49" s="47"/>
      <c r="BD49" s="123" t="str">
        <f>IF(ISERROR(COUNTIF($D49:$Y49,1)/(COUNTIF($D49:$Y49,1)+COUNTIF($D49:$Y49,0))),"",COUNTIF($D49:$Y49,1)/(COUNTIF($D49:$Y49,1)+COUNTIF($D49:$Y49,0))*General!$D$7*10)</f>
        <v/>
      </c>
      <c r="BE49" s="124" t="str">
        <f>IFERROR(AVERAGE($Z49:$AQ49) * General!$E$7, "")</f>
        <v/>
      </c>
      <c r="BF49" s="125" t="str">
        <f>IFERROR(AVERAGE($AR49:$BA49) * General!$F$7, "")</f>
        <v/>
      </c>
      <c r="BG49" s="126" t="str">
        <f>IFERROR(AVERAGE($BB49) * General!$G$7, "")</f>
        <v/>
      </c>
      <c r="BH49" s="127" t="str">
        <f>IFERROR(AVERAGE($BC49) * General!$H$7, "")</f>
        <v/>
      </c>
      <c r="BI49" s="156">
        <f t="shared" si="0"/>
        <v>0</v>
      </c>
      <c r="BJ49" s="161" t="str">
        <f t="shared" si="1"/>
        <v/>
      </c>
    </row>
    <row r="50" spans="1:62" ht="15">
      <c r="A50" s="23" t="str">
        <f>IF(General!A51="","",General!A51)</f>
        <v/>
      </c>
      <c r="B50" s="23" t="str">
        <f>IF(General!B51="","",General!B51)</f>
        <v/>
      </c>
      <c r="C50" s="23" t="str">
        <f>IF(General!C51="","",General!C51)</f>
        <v/>
      </c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109"/>
      <c r="W50" s="115"/>
      <c r="X50" s="98"/>
      <c r="Y50" s="99"/>
      <c r="Z50" s="50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2"/>
      <c r="AR50" s="53"/>
      <c r="AS50" s="54"/>
      <c r="AT50" s="54"/>
      <c r="AU50" s="54"/>
      <c r="AV50" s="54"/>
      <c r="AW50" s="54"/>
      <c r="AX50" s="54"/>
      <c r="AY50" s="54"/>
      <c r="AZ50" s="54"/>
      <c r="BA50" s="55"/>
      <c r="BB50" s="56"/>
      <c r="BC50" s="57"/>
      <c r="BD50" s="128" t="str">
        <f>IF(ISERROR(COUNTIF($D50:$Y50,1)/(COUNTIF($D50:$Y50,1)+COUNTIF($D50:$Y50,0))),"",COUNTIF($D50:$Y50,1)/(COUNTIF($D50:$Y50,1)+COUNTIF($D50:$Y50,0))*General!$D$7*10)</f>
        <v/>
      </c>
      <c r="BE50" s="129" t="str">
        <f>IFERROR(AVERAGE($Z50:$AQ50) * General!$E$7, "")</f>
        <v/>
      </c>
      <c r="BF50" s="130" t="str">
        <f>IFERROR(AVERAGE($AR50:$BA50) * General!$F$7, "")</f>
        <v/>
      </c>
      <c r="BG50" s="131" t="str">
        <f>IFERROR(AVERAGE($BB50) * General!$G$7, "")</f>
        <v/>
      </c>
      <c r="BH50" s="132" t="str">
        <f>IFERROR(AVERAGE($BC50) * General!$H$7, "")</f>
        <v/>
      </c>
      <c r="BI50" s="157">
        <f t="shared" si="0"/>
        <v>0</v>
      </c>
      <c r="BJ50" s="162" t="str">
        <f t="shared" si="1"/>
        <v/>
      </c>
    </row>
    <row r="51" spans="1:62" ht="15">
      <c r="A51" s="23" t="str">
        <f>IF(General!A52="","",General!A52)</f>
        <v/>
      </c>
      <c r="B51" s="23" t="str">
        <f>IF(General!B52="","",General!B52)</f>
        <v/>
      </c>
      <c r="C51" s="23" t="str">
        <f>IF(General!C52="","",General!C52)</f>
        <v/>
      </c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109"/>
      <c r="W51" s="115"/>
      <c r="X51" s="98"/>
      <c r="Y51" s="99"/>
      <c r="Z51" s="50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2"/>
      <c r="AR51" s="53"/>
      <c r="AS51" s="54"/>
      <c r="AT51" s="54"/>
      <c r="AU51" s="54"/>
      <c r="AV51" s="54"/>
      <c r="AW51" s="54"/>
      <c r="AX51" s="54"/>
      <c r="AY51" s="54"/>
      <c r="AZ51" s="54"/>
      <c r="BA51" s="55"/>
      <c r="BB51" s="56"/>
      <c r="BC51" s="57"/>
      <c r="BD51" s="128" t="str">
        <f>IF(ISERROR(COUNTIF($D51:$Y51,1)/(COUNTIF($D51:$Y51,1)+COUNTIF($D51:$Y51,0))),"",COUNTIF($D51:$Y51,1)/(COUNTIF($D51:$Y51,1)+COUNTIF($D51:$Y51,0))*General!$D$7*10)</f>
        <v/>
      </c>
      <c r="BE51" s="129" t="str">
        <f>IFERROR(AVERAGE($Z51:$AQ51) * General!$E$7, "")</f>
        <v/>
      </c>
      <c r="BF51" s="130" t="str">
        <f>IFERROR(AVERAGE($AR51:$BA51) * General!$F$7, "")</f>
        <v/>
      </c>
      <c r="BG51" s="131" t="str">
        <f>IFERROR(AVERAGE($BB51) * General!$G$7, "")</f>
        <v/>
      </c>
      <c r="BH51" s="132" t="str">
        <f>IFERROR(AVERAGE($BC51) * General!$H$7, "")</f>
        <v/>
      </c>
      <c r="BI51" s="157">
        <f t="shared" si="0"/>
        <v>0</v>
      </c>
      <c r="BJ51" s="162" t="str">
        <f t="shared" si="1"/>
        <v/>
      </c>
    </row>
    <row r="52" spans="1:62" ht="15">
      <c r="A52" s="23" t="str">
        <f>IF(General!A53="","",General!A53)</f>
        <v/>
      </c>
      <c r="B52" s="23" t="str">
        <f>IF(General!B53="","",General!B53)</f>
        <v/>
      </c>
      <c r="C52" s="23" t="str">
        <f>IF(General!C53="","",General!C53)</f>
        <v/>
      </c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109"/>
      <c r="W52" s="115"/>
      <c r="X52" s="98"/>
      <c r="Y52" s="99"/>
      <c r="Z52" s="50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2"/>
      <c r="AR52" s="53"/>
      <c r="AS52" s="54"/>
      <c r="AT52" s="54"/>
      <c r="AU52" s="54"/>
      <c r="AV52" s="54"/>
      <c r="AW52" s="54"/>
      <c r="AX52" s="54"/>
      <c r="AY52" s="54"/>
      <c r="AZ52" s="54"/>
      <c r="BA52" s="55"/>
      <c r="BB52" s="56"/>
      <c r="BC52" s="57"/>
      <c r="BD52" s="128" t="str">
        <f>IF(ISERROR(COUNTIF($D52:$Y52,1)/(COUNTIF($D52:$Y52,1)+COUNTIF($D52:$Y52,0))),"",COUNTIF($D52:$Y52,1)/(COUNTIF($D52:$Y52,1)+COUNTIF($D52:$Y52,0))*General!$D$7*10)</f>
        <v/>
      </c>
      <c r="BE52" s="129" t="str">
        <f>IFERROR(AVERAGE($Z52:$AQ52) * General!$E$7, "")</f>
        <v/>
      </c>
      <c r="BF52" s="130" t="str">
        <f>IFERROR(AVERAGE($AR52:$BA52) * General!$F$7, "")</f>
        <v/>
      </c>
      <c r="BG52" s="131" t="str">
        <f>IFERROR(AVERAGE($BB52) * General!$G$7, "")</f>
        <v/>
      </c>
      <c r="BH52" s="132" t="str">
        <f>IFERROR(AVERAGE($BC52) * General!$H$7, "")</f>
        <v/>
      </c>
      <c r="BI52" s="157">
        <f t="shared" si="0"/>
        <v>0</v>
      </c>
      <c r="BJ52" s="162" t="str">
        <f t="shared" si="1"/>
        <v/>
      </c>
    </row>
    <row r="53" spans="1:62" ht="15.75" thickBot="1">
      <c r="A53" s="31" t="str">
        <f>IF(General!A54="","",General!A54)</f>
        <v/>
      </c>
      <c r="B53" s="31" t="str">
        <f>IF(General!B54="","",General!B54)</f>
        <v/>
      </c>
      <c r="C53" s="31" t="str">
        <f>IF(General!C54="","",General!C54)</f>
        <v/>
      </c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113"/>
      <c r="W53" s="119"/>
      <c r="X53" s="106"/>
      <c r="Y53" s="107"/>
      <c r="Z53" s="87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9"/>
      <c r="AR53" s="90"/>
      <c r="AS53" s="91"/>
      <c r="AT53" s="91"/>
      <c r="AU53" s="91"/>
      <c r="AV53" s="91"/>
      <c r="AW53" s="91"/>
      <c r="AX53" s="91"/>
      <c r="AY53" s="91"/>
      <c r="AZ53" s="91"/>
      <c r="BA53" s="92"/>
      <c r="BB53" s="93"/>
      <c r="BC53" s="94"/>
      <c r="BD53" s="138" t="str">
        <f>IF(ISERROR(COUNTIF($D53:$Y53,1)/(COUNTIF($D53:$Y53,1)+COUNTIF($D53:$Y53,0))),"",COUNTIF($D53:$Y53,1)/(COUNTIF($D53:$Y53,1)+COUNTIF($D53:$Y53,0))*General!$D$7*10)</f>
        <v/>
      </c>
      <c r="BE53" s="139" t="str">
        <f>IFERROR(AVERAGE($Z53:$AQ53) * General!$E$7, "")</f>
        <v/>
      </c>
      <c r="BF53" s="140" t="str">
        <f>IFERROR(AVERAGE($AR53:$BA53) * General!$F$7, "")</f>
        <v/>
      </c>
      <c r="BG53" s="141" t="str">
        <f>IFERROR(AVERAGE($BB53) * General!$G$7, "")</f>
        <v/>
      </c>
      <c r="BH53" s="142" t="str">
        <f>IFERROR(AVERAGE($BC53) * General!$H$7, "")</f>
        <v/>
      </c>
      <c r="BI53" s="159">
        <f t="shared" si="0"/>
        <v>0</v>
      </c>
      <c r="BJ53" s="163" t="str">
        <f t="shared" si="1"/>
        <v/>
      </c>
    </row>
    <row r="54" spans="1:62">
      <c r="A54" s="1" t="str">
        <f>IF(General!A55="","",General!A55)</f>
        <v/>
      </c>
      <c r="B54" s="1" t="str">
        <f>IF(General!B55="","",General!B55)</f>
        <v/>
      </c>
      <c r="C54" s="1" t="str">
        <f>IF(General!C55="","",General!C55)</f>
        <v/>
      </c>
    </row>
  </sheetData>
  <mergeCells count="78">
    <mergeCell ref="U4:X4"/>
    <mergeCell ref="A1:C2"/>
    <mergeCell ref="E2:X2"/>
    <mergeCell ref="A3:B3"/>
    <mergeCell ref="E3:H3"/>
    <mergeCell ref="I3:L3"/>
    <mergeCell ref="M3:P3"/>
    <mergeCell ref="Q3:T3"/>
    <mergeCell ref="U3:X3"/>
    <mergeCell ref="A4:B4"/>
    <mergeCell ref="E4:H4"/>
    <mergeCell ref="I4:L4"/>
    <mergeCell ref="M4:P4"/>
    <mergeCell ref="Q4:T4"/>
    <mergeCell ref="A5:B5"/>
    <mergeCell ref="A6:A8"/>
    <mergeCell ref="B6:B8"/>
    <mergeCell ref="C6:C8"/>
    <mergeCell ref="D6:Y6"/>
    <mergeCell ref="T7:T8"/>
    <mergeCell ref="P7:P8"/>
    <mergeCell ref="Q7:Q8"/>
    <mergeCell ref="R7:R8"/>
    <mergeCell ref="S7:S8"/>
    <mergeCell ref="U7:U8"/>
    <mergeCell ref="V7:V8"/>
    <mergeCell ref="K7:K8"/>
    <mergeCell ref="L7:L8"/>
    <mergeCell ref="M7:M8"/>
    <mergeCell ref="N7:N8"/>
    <mergeCell ref="BD6:BD8"/>
    <mergeCell ref="BE6:BE8"/>
    <mergeCell ref="O7:O8"/>
    <mergeCell ref="BF6:BF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Z6:AQ6"/>
    <mergeCell ref="AF7:AF8"/>
    <mergeCell ref="Z7:Z8"/>
    <mergeCell ref="I7:I8"/>
    <mergeCell ref="J7:J8"/>
    <mergeCell ref="AR6:BA6"/>
    <mergeCell ref="BB6:BB8"/>
    <mergeCell ref="BC6:BC8"/>
    <mergeCell ref="AA7:AA8"/>
    <mergeCell ref="AB7:AB8"/>
    <mergeCell ref="AC7:AC8"/>
    <mergeCell ref="AD7:AD8"/>
    <mergeCell ref="AE7:AE8"/>
    <mergeCell ref="W7:Y8"/>
    <mergeCell ref="D7:D8"/>
    <mergeCell ref="E7:E8"/>
    <mergeCell ref="F7:F8"/>
    <mergeCell ref="G7:G8"/>
    <mergeCell ref="H7:H8"/>
    <mergeCell ref="BJ6:BJ8"/>
    <mergeCell ref="AR7:AR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BG6:BG8"/>
    <mergeCell ref="BH6:BH8"/>
    <mergeCell ref="BI6:BI8"/>
  </mergeCells>
  <dataValidations count="5">
    <dataValidation allowBlank="1" showInputMessage="1" showErrorMessage="1" promptTitle="Nombre" prompt="Escribe el nombre de la evidencia" sqref="AR7:BA8" xr:uid="{17A9960D-FEEC-41A4-9A25-969188B89ED4}"/>
    <dataValidation allowBlank="1" showInputMessage="1" showErrorMessage="1" promptTitle="Nombre" prompt="Escribe el nombre de la actividad" sqref="Z7:AQ8" xr:uid="{B9CDF85F-46B9-41B5-ABE2-3658324390BD}"/>
    <dataValidation allowBlank="1" showInputMessage="1" showErrorMessage="1" promptTitle="Fecha" prompt="Escribe la fecha con este formato: 01-01-2025" sqref="D7:V8" xr:uid="{823974E7-8CF1-408C-B971-367C5F806FC6}"/>
    <dataValidation allowBlank="1" showInputMessage="1" showErrorMessage="1" promptTitle="Faltas por retardos" prompt="Cuando el alumno acumule tres retardos en el regisitro, deberás de colocar una falta en esta sección." sqref="W7:Y8" xr:uid="{0FB6530E-FF62-4087-976D-16C202C26957}"/>
    <dataValidation type="list" allowBlank="1" showDropDown="1" showInputMessage="1" showErrorMessage="1" errorTitle="Advertencia" error="Solamente puedes escribir: 1-Asistencia, 0-Falta, y R-Retardo." sqref="D9:Y53" xr:uid="{37ABA892-2356-43F4-9DC8-D8313A287896}">
      <formula1>"1, 0, R, r"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33A5B6C-4F79-42E3-8A37-DF0749C719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D9:Y53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7E23-5188-4BAA-A180-E3724D46E934}">
  <dimension ref="A1:BJ54"/>
  <sheetViews>
    <sheetView showGridLines="0" showRuler="0" zoomScaleNormal="100" zoomScaleSheetLayoutView="100" workbookViewId="0">
      <pane xSplit="3" topLeftCell="D1" activePane="topRight" state="frozen"/>
      <selection pane="topRight" activeCell="AW19" sqref="AW19"/>
    </sheetView>
  </sheetViews>
  <sheetFormatPr baseColWidth="10" defaultColWidth="11.625" defaultRowHeight="14.25"/>
  <cols>
    <col min="1" max="1" width="4.125" style="1" bestFit="1" customWidth="1"/>
    <col min="2" max="2" width="12.25" style="1" bestFit="1" customWidth="1"/>
    <col min="3" max="3" width="44.25" style="1" customWidth="1"/>
    <col min="4" max="4" width="3.125" style="1" customWidth="1"/>
    <col min="5" max="25" width="3" style="1" bestFit="1" customWidth="1"/>
    <col min="26" max="26" width="4.75" style="1" bestFit="1" customWidth="1"/>
    <col min="27" max="43" width="4.875" style="1" bestFit="1" customWidth="1"/>
    <col min="44" max="44" width="4.75" style="1" bestFit="1" customWidth="1"/>
    <col min="45" max="53" width="4.875" style="1" bestFit="1" customWidth="1"/>
    <col min="54" max="55" width="6.75" style="1" customWidth="1"/>
    <col min="56" max="60" width="5" style="1" customWidth="1"/>
    <col min="61" max="61" width="11.75" style="1" customWidth="1"/>
    <col min="62" max="16384" width="11.625" style="1"/>
  </cols>
  <sheetData>
    <row r="1" spans="1:62">
      <c r="A1" s="261"/>
      <c r="B1" s="262"/>
      <c r="C1" s="26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35"/>
      <c r="BC1" s="35"/>
      <c r="BD1" s="35"/>
      <c r="BE1" s="35"/>
      <c r="BF1" s="35"/>
      <c r="BG1" s="35"/>
      <c r="BH1" s="35"/>
      <c r="BI1" s="35"/>
      <c r="BJ1" s="36"/>
    </row>
    <row r="2" spans="1:62" ht="15">
      <c r="A2" s="263"/>
      <c r="B2" s="264"/>
      <c r="C2" s="264"/>
      <c r="D2"/>
      <c r="E2" s="198" t="str">
        <f>IF(General!D5="","",General!D5)</f>
        <v>Ponderaciones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J2" s="37"/>
    </row>
    <row r="3" spans="1:62" ht="15">
      <c r="A3" s="179" t="str">
        <f>IF(General!A5="","",General!A5)</f>
        <v>Grupo:</v>
      </c>
      <c r="B3" s="180"/>
      <c r="C3" s="160" t="str">
        <f>IF(General!C5="","",General!C5)</f>
        <v>2A</v>
      </c>
      <c r="D3"/>
      <c r="E3" s="199" t="str">
        <f>IF(General!D6="","",General!D6)</f>
        <v>Asistencia</v>
      </c>
      <c r="F3" s="199"/>
      <c r="G3" s="199"/>
      <c r="H3" s="199"/>
      <c r="I3" s="199" t="str">
        <f>IF(General!E6="","",General!E6)</f>
        <v>Actividades</v>
      </c>
      <c r="J3" s="199"/>
      <c r="K3" s="199"/>
      <c r="L3" s="199"/>
      <c r="M3" s="199" t="str">
        <f>IF(General!F6="","",General!F6)</f>
        <v>Evidencias</v>
      </c>
      <c r="N3" s="199"/>
      <c r="O3" s="199"/>
      <c r="P3" s="199"/>
      <c r="Q3" s="199" t="str">
        <f>IF(General!G6="","",General!G6)</f>
        <v>Producto</v>
      </c>
      <c r="R3" s="199"/>
      <c r="S3" s="199"/>
      <c r="T3" s="199"/>
      <c r="U3" s="199" t="str">
        <f>IF(General!H6="","",General!H6)</f>
        <v>Examen</v>
      </c>
      <c r="V3" s="199"/>
      <c r="W3" s="199"/>
      <c r="X3" s="199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J3" s="37"/>
    </row>
    <row r="4" spans="1:62" ht="15">
      <c r="A4" s="179" t="str">
        <f>IF(General!A6="","",General!A6)</f>
        <v>Asignatura:</v>
      </c>
      <c r="B4" s="180"/>
      <c r="C4" s="160" t="str">
        <f>IF(General!C6="","",General!C6)</f>
        <v>HABILIDADES SOCIALES</v>
      </c>
      <c r="D4"/>
      <c r="E4" s="200">
        <f>IF(General!D7="","",General!D7)</f>
        <v>0</v>
      </c>
      <c r="F4" s="201"/>
      <c r="G4" s="201"/>
      <c r="H4" s="201"/>
      <c r="I4" s="200">
        <f>IF(General!E7="","",General!E7)</f>
        <v>0.2</v>
      </c>
      <c r="J4" s="201"/>
      <c r="K4" s="201"/>
      <c r="L4" s="201"/>
      <c r="M4" s="200">
        <f>IF(General!F7="","",General!F7)</f>
        <v>0.2</v>
      </c>
      <c r="N4" s="201"/>
      <c r="O4" s="201"/>
      <c r="P4" s="201"/>
      <c r="Q4" s="200">
        <f>IF(General!G7="","",General!G7)</f>
        <v>0.3</v>
      </c>
      <c r="R4" s="201"/>
      <c r="S4" s="201"/>
      <c r="T4" s="201"/>
      <c r="U4" s="200">
        <f>IF(General!H7="","",General!H7)</f>
        <v>0.3</v>
      </c>
      <c r="V4" s="201"/>
      <c r="W4" s="201"/>
      <c r="X4" s="201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J4" s="37"/>
    </row>
    <row r="5" spans="1:62" ht="15.75" thickBot="1">
      <c r="A5" s="212" t="str">
        <f>IF(General!A7="","",General!A7)</f>
        <v>Docente:</v>
      </c>
      <c r="B5" s="213"/>
      <c r="C5" s="160" t="str">
        <f>IF(General!C7="","",General!C7)</f>
        <v>EVANGELINA REYES AYALA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J5" s="37"/>
    </row>
    <row r="6" spans="1:62" ht="40.15" customHeight="1" thickBot="1">
      <c r="A6" s="222" t="s">
        <v>1</v>
      </c>
      <c r="B6" s="222" t="s">
        <v>0</v>
      </c>
      <c r="C6" s="222" t="s">
        <v>10</v>
      </c>
      <c r="D6" s="258" t="s">
        <v>6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60"/>
      <c r="Z6" s="235" t="s">
        <v>20</v>
      </c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7"/>
      <c r="AR6" s="238" t="s">
        <v>21</v>
      </c>
      <c r="AS6" s="239"/>
      <c r="AT6" s="239"/>
      <c r="AU6" s="239"/>
      <c r="AV6" s="239"/>
      <c r="AW6" s="239"/>
      <c r="AX6" s="239"/>
      <c r="AY6" s="239"/>
      <c r="AZ6" s="239"/>
      <c r="BA6" s="240"/>
      <c r="BB6" s="225" t="s">
        <v>22</v>
      </c>
      <c r="BC6" s="232" t="s">
        <v>23</v>
      </c>
      <c r="BD6" s="241" t="str">
        <f>CONCATENATE(General!$D$6, ": ", General!$D$7*100, " %")</f>
        <v>Asistencia: 0 %</v>
      </c>
      <c r="BE6" s="244" t="str">
        <f>CONCATENATE(General!$E$6, ": ", General!$E$7*100, " %")</f>
        <v>Actividades: 20 %</v>
      </c>
      <c r="BF6" s="247" t="str">
        <f>CONCATENATE(General!$F$6, ": ", General!$F$7*100, " %")</f>
        <v>Evidencias: 20 %</v>
      </c>
      <c r="BG6" s="225" t="str">
        <f>CONCATENATE(General!$G$6, ": ", General!$G$7*100, " %")</f>
        <v>Producto: 30 %</v>
      </c>
      <c r="BH6" s="232" t="str">
        <f>CONCATENATE(General!$H$6, ": ", General!$H$7*100, " %")</f>
        <v>Examen: 30 %</v>
      </c>
      <c r="BI6" s="202" t="s">
        <v>24</v>
      </c>
      <c r="BJ6" s="195" t="s">
        <v>29</v>
      </c>
    </row>
    <row r="7" spans="1:62">
      <c r="A7" s="223"/>
      <c r="B7" s="223"/>
      <c r="C7" s="223"/>
      <c r="D7" s="218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30"/>
      <c r="W7" s="252" t="s">
        <v>28</v>
      </c>
      <c r="X7" s="253"/>
      <c r="Y7" s="254"/>
      <c r="Z7" s="250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28"/>
      <c r="AR7" s="220"/>
      <c r="AS7" s="205"/>
      <c r="AT7" s="205"/>
      <c r="AU7" s="205"/>
      <c r="AV7" s="205"/>
      <c r="AW7" s="205"/>
      <c r="AX7" s="205"/>
      <c r="AY7" s="205"/>
      <c r="AZ7" s="205"/>
      <c r="BA7" s="207"/>
      <c r="BB7" s="226"/>
      <c r="BC7" s="233"/>
      <c r="BD7" s="242"/>
      <c r="BE7" s="245"/>
      <c r="BF7" s="248"/>
      <c r="BG7" s="226"/>
      <c r="BH7" s="233"/>
      <c r="BI7" s="203"/>
      <c r="BJ7" s="196"/>
    </row>
    <row r="8" spans="1:62" ht="35.450000000000003" customHeight="1" thickBot="1">
      <c r="A8" s="224"/>
      <c r="B8" s="224"/>
      <c r="C8" s="224"/>
      <c r="D8" s="219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31"/>
      <c r="W8" s="255"/>
      <c r="X8" s="256"/>
      <c r="Y8" s="257"/>
      <c r="Z8" s="251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29"/>
      <c r="AR8" s="221"/>
      <c r="AS8" s="206"/>
      <c r="AT8" s="206"/>
      <c r="AU8" s="206"/>
      <c r="AV8" s="206"/>
      <c r="AW8" s="206"/>
      <c r="AX8" s="206"/>
      <c r="AY8" s="206"/>
      <c r="AZ8" s="206"/>
      <c r="BA8" s="208"/>
      <c r="BB8" s="227"/>
      <c r="BC8" s="234"/>
      <c r="BD8" s="243"/>
      <c r="BE8" s="246"/>
      <c r="BF8" s="249"/>
      <c r="BG8" s="227"/>
      <c r="BH8" s="234"/>
      <c r="BI8" s="204"/>
      <c r="BJ8" s="197"/>
    </row>
    <row r="9" spans="1:62" ht="15">
      <c r="A9" s="120">
        <f>IF(General!A10="","",General!A10)</f>
        <v>1</v>
      </c>
      <c r="B9" s="120" t="str">
        <f>IF(General!B10="","",General!B10)</f>
        <v/>
      </c>
      <c r="C9" s="120" t="str">
        <f>IF(General!C10="","",General!C10)</f>
        <v/>
      </c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108"/>
      <c r="W9" s="114"/>
      <c r="X9" s="96"/>
      <c r="Y9" s="97"/>
      <c r="Z9" s="40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  <c r="AR9" s="43"/>
      <c r="AS9" s="44"/>
      <c r="AT9" s="44"/>
      <c r="AU9" s="44"/>
      <c r="AV9" s="44"/>
      <c r="AW9" s="44"/>
      <c r="AX9" s="44"/>
      <c r="AY9" s="44"/>
      <c r="AZ9" s="44"/>
      <c r="BA9" s="45"/>
      <c r="BB9" s="46"/>
      <c r="BC9" s="47"/>
      <c r="BD9" s="123" t="str">
        <f>IF(ISERROR(COUNTIF($D9:$Y9,1)/(COUNTIF($D9:$Y9,1)+COUNTIF($D9:$Y9,0))),"",COUNTIF($D9:$Y9,1)/(COUNTIF($D9:$Y9,1)+COUNTIF($D9:$Y9,0))*General!$D$7*10)</f>
        <v/>
      </c>
      <c r="BE9" s="124" t="str">
        <f>IFERROR(AVERAGE($Z9:$AQ9) * General!$E$7, "")</f>
        <v/>
      </c>
      <c r="BF9" s="125" t="str">
        <f>IFERROR(AVERAGE($AR9:$BA9) * General!$F$7, "")</f>
        <v/>
      </c>
      <c r="BG9" s="126" t="str">
        <f>IFERROR(AVERAGE($BB9) * General!$G$7, "")</f>
        <v/>
      </c>
      <c r="BH9" s="127" t="str">
        <f>IFERROR(AVERAGE($BC9) * General!$H$7, "")</f>
        <v/>
      </c>
      <c r="BI9" s="156">
        <f>SUM(BD9:BH9)</f>
        <v>0</v>
      </c>
      <c r="BJ9" s="161" t="str">
        <f>IF(ISERROR(COUNTIF($D9:$Y9,1)/(COUNTIF($D9:$Y9,1)+COUNTIF($D9:$Y9,0))),"",COUNTIF($D9:$Y9,1)/(COUNTIF($D9:$Y9,1)+COUNTIF($D9:$Y9,0)))</f>
        <v/>
      </c>
    </row>
    <row r="10" spans="1:62" ht="15">
      <c r="A10" s="23">
        <f>IF(General!A11="","",General!A11)</f>
        <v>2</v>
      </c>
      <c r="B10" s="146" t="str">
        <f>IF(General!B11="","",General!B11)</f>
        <v/>
      </c>
      <c r="C10" s="23" t="str">
        <f>IF(General!C11="","",General!C11)</f>
        <v/>
      </c>
      <c r="D10" s="48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109"/>
      <c r="W10" s="115"/>
      <c r="X10" s="98"/>
      <c r="Y10" s="99"/>
      <c r="Z10" s="50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2"/>
      <c r="AR10" s="53"/>
      <c r="AS10" s="54"/>
      <c r="AT10" s="54"/>
      <c r="AU10" s="54"/>
      <c r="AV10" s="54"/>
      <c r="AW10" s="54"/>
      <c r="AX10" s="54"/>
      <c r="AY10" s="54"/>
      <c r="AZ10" s="54"/>
      <c r="BA10" s="55"/>
      <c r="BB10" s="56"/>
      <c r="BC10" s="57"/>
      <c r="BD10" s="128" t="str">
        <f>IF(ISERROR(COUNTIF($D10:$Y10,1)/(COUNTIF($D10:$Y10,1)+COUNTIF($D10:$Y10,0))),"",COUNTIF($D10:$Y10,1)/(COUNTIF($D10:$Y10,1)+COUNTIF($D10:$Y10,0))*General!$D$7*10)</f>
        <v/>
      </c>
      <c r="BE10" s="129" t="str">
        <f>IFERROR(AVERAGE($Z10:$AQ10) * General!$E$7, "")</f>
        <v/>
      </c>
      <c r="BF10" s="130" t="str">
        <f>IFERROR(AVERAGE($AR10:$BA10) * General!$F$7, "")</f>
        <v/>
      </c>
      <c r="BG10" s="131" t="str">
        <f>IFERROR(AVERAGE($BB10) * General!$G$7, "")</f>
        <v/>
      </c>
      <c r="BH10" s="132" t="str">
        <f>IFERROR(AVERAGE($BC10) * General!$H$7, "")</f>
        <v/>
      </c>
      <c r="BI10" s="157">
        <f t="shared" ref="BI10:BI53" si="0">SUM(BD10:BH10)</f>
        <v>0</v>
      </c>
      <c r="BJ10" s="162" t="str">
        <f t="shared" ref="BJ10:BJ53" si="1">IF(ISERROR(COUNTIF($D10:$Y10,1)/(COUNTIF($D10:$Y10,1)+COUNTIF($D10:$Y10,0))),"",COUNTIF($D10:$Y10,1)/(COUNTIF($D10:$Y10,1)+COUNTIF($D10:$Y10,0)))</f>
        <v/>
      </c>
    </row>
    <row r="11" spans="1:62" ht="15">
      <c r="A11" s="23">
        <f>IF(General!A12="","",General!A12)</f>
        <v>3</v>
      </c>
      <c r="B11" s="23" t="str">
        <f>IF(General!B12="","",General!B12)</f>
        <v/>
      </c>
      <c r="C11" s="23" t="str">
        <f>IF(General!C12="","",General!C12)</f>
        <v/>
      </c>
      <c r="D11" s="48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109"/>
      <c r="W11" s="115"/>
      <c r="X11" s="98"/>
      <c r="Y11" s="99"/>
      <c r="Z11" s="50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2"/>
      <c r="AR11" s="53"/>
      <c r="AS11" s="54"/>
      <c r="AT11" s="54"/>
      <c r="AU11" s="54"/>
      <c r="AV11" s="54"/>
      <c r="AW11" s="54"/>
      <c r="AX11" s="54"/>
      <c r="AY11" s="54"/>
      <c r="AZ11" s="54"/>
      <c r="BA11" s="55"/>
      <c r="BB11" s="56"/>
      <c r="BC11" s="57"/>
      <c r="BD11" s="128" t="str">
        <f>IF(ISERROR(COUNTIF($D11:$Y11,1)/(COUNTIF($D11:$Y11,1)+COUNTIF($D11:$Y11,0))),"",COUNTIF($D11:$Y11,1)/(COUNTIF($D11:$Y11,1)+COUNTIF($D11:$Y11,0))*General!$D$7*10)</f>
        <v/>
      </c>
      <c r="BE11" s="129" t="str">
        <f>IFERROR(AVERAGE($Z11:$AQ11) * General!$E$7, "")</f>
        <v/>
      </c>
      <c r="BF11" s="130" t="str">
        <f>IFERROR(AVERAGE($AR11:$BA11) * General!$F$7, "")</f>
        <v/>
      </c>
      <c r="BG11" s="131" t="str">
        <f>IFERROR(AVERAGE($BB11) * General!$G$7, "")</f>
        <v/>
      </c>
      <c r="BH11" s="132" t="str">
        <f>IFERROR(AVERAGE($BC11) * General!$H$7, "")</f>
        <v/>
      </c>
      <c r="BI11" s="157">
        <f t="shared" si="0"/>
        <v>0</v>
      </c>
      <c r="BJ11" s="162" t="str">
        <f t="shared" si="1"/>
        <v/>
      </c>
    </row>
    <row r="12" spans="1:62" ht="15">
      <c r="A12" s="23">
        <f>IF(General!A13="","",General!A13)</f>
        <v>4</v>
      </c>
      <c r="B12" s="23" t="str">
        <f>IF(General!B13="","",General!B13)</f>
        <v/>
      </c>
      <c r="C12" s="23" t="str">
        <f>IF(General!C13="","",General!C13)</f>
        <v/>
      </c>
      <c r="D12" s="48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109"/>
      <c r="W12" s="115"/>
      <c r="X12" s="98"/>
      <c r="Y12" s="99"/>
      <c r="Z12" s="50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/>
      <c r="AR12" s="53"/>
      <c r="AS12" s="54"/>
      <c r="AT12" s="54"/>
      <c r="AU12" s="54"/>
      <c r="AV12" s="54"/>
      <c r="AW12" s="54"/>
      <c r="AX12" s="54"/>
      <c r="AY12" s="54"/>
      <c r="AZ12" s="54"/>
      <c r="BA12" s="55"/>
      <c r="BB12" s="56"/>
      <c r="BC12" s="57"/>
      <c r="BD12" s="128" t="str">
        <f>IF(ISERROR(COUNTIF($D12:$Y12,1)/(COUNTIF($D12:$Y12,1)+COUNTIF($D12:$Y12,0))),"",COUNTIF($D12:$Y12,1)/(COUNTIF($D12:$Y12,1)+COUNTIF($D12:$Y12,0))*General!$D$7*10)</f>
        <v/>
      </c>
      <c r="BE12" s="129" t="str">
        <f>IFERROR(AVERAGE($Z12:$AQ12) * General!$E$7, "")</f>
        <v/>
      </c>
      <c r="BF12" s="130" t="str">
        <f>IFERROR(AVERAGE($AR12:$BA12) * General!$F$7, "")</f>
        <v/>
      </c>
      <c r="BG12" s="131" t="str">
        <f>IFERROR(AVERAGE($BB12) * General!$G$7, "")</f>
        <v/>
      </c>
      <c r="BH12" s="132" t="str">
        <f>IFERROR(AVERAGE($BC12) * General!$H$7, "")</f>
        <v/>
      </c>
      <c r="BI12" s="157">
        <f t="shared" si="0"/>
        <v>0</v>
      </c>
      <c r="BJ12" s="162" t="str">
        <f t="shared" si="1"/>
        <v/>
      </c>
    </row>
    <row r="13" spans="1:62" ht="15.75" thickBot="1">
      <c r="A13" s="26">
        <f>IF(General!A14="","",General!A14)</f>
        <v>5</v>
      </c>
      <c r="B13" s="26" t="str">
        <f>IF(General!B14="","",General!B14)</f>
        <v/>
      </c>
      <c r="C13" s="26" t="str">
        <f>IF(General!C14="","",General!C14)</f>
        <v/>
      </c>
      <c r="D13" s="58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110"/>
      <c r="W13" s="116"/>
      <c r="X13" s="100"/>
      <c r="Y13" s="101"/>
      <c r="Z13" s="60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2"/>
      <c r="AR13" s="63"/>
      <c r="AS13" s="64"/>
      <c r="AT13" s="64"/>
      <c r="AU13" s="64"/>
      <c r="AV13" s="64"/>
      <c r="AW13" s="64"/>
      <c r="AX13" s="64"/>
      <c r="AY13" s="64"/>
      <c r="AZ13" s="64"/>
      <c r="BA13" s="65"/>
      <c r="BB13" s="66"/>
      <c r="BC13" s="67"/>
      <c r="BD13" s="133" t="str">
        <f>IF(ISERROR(COUNTIF($D13:$Y13,1)/(COUNTIF($D13:$Y13,1)+COUNTIF($D13:$Y13,0))),"",COUNTIF($D13:$Y13,1)/(COUNTIF($D13:$Y13,1)+COUNTIF($D13:$Y13,0))*General!$D$7*10)</f>
        <v/>
      </c>
      <c r="BE13" s="134" t="str">
        <f>IFERROR(AVERAGE($Z13:$AQ13) * General!$E$7, "")</f>
        <v/>
      </c>
      <c r="BF13" s="135" t="str">
        <f>IFERROR(AVERAGE($AR13:$BA13) * General!$F$7, "")</f>
        <v/>
      </c>
      <c r="BG13" s="136" t="str">
        <f>IFERROR(AVERAGE($BB13) * General!$G$7, "")</f>
        <v/>
      </c>
      <c r="BH13" s="137" t="str">
        <f>IFERROR(AVERAGE($BC13) * General!$H$7, "")</f>
        <v/>
      </c>
      <c r="BI13" s="158">
        <f t="shared" si="0"/>
        <v>0</v>
      </c>
      <c r="BJ13" s="164" t="str">
        <f t="shared" si="1"/>
        <v/>
      </c>
    </row>
    <row r="14" spans="1:62" ht="15.75" thickTop="1">
      <c r="A14" s="121">
        <f>IF(General!A15="","",General!A15)</f>
        <v>6</v>
      </c>
      <c r="B14" s="121" t="str">
        <f>IF(General!B15="","",General!B15)</f>
        <v/>
      </c>
      <c r="C14" s="121" t="str">
        <f>IF(General!C15="","",General!C15)</f>
        <v/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111"/>
      <c r="W14" s="117"/>
      <c r="X14" s="102"/>
      <c r="Y14" s="103"/>
      <c r="Z14" s="70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  <c r="AR14" s="73"/>
      <c r="AS14" s="74"/>
      <c r="AT14" s="74"/>
      <c r="AU14" s="74"/>
      <c r="AV14" s="74"/>
      <c r="AW14" s="74"/>
      <c r="AX14" s="74"/>
      <c r="AY14" s="74"/>
      <c r="AZ14" s="74"/>
      <c r="BA14" s="75"/>
      <c r="BB14" s="76"/>
      <c r="BC14" s="47"/>
      <c r="BD14" s="123" t="str">
        <f>IF(ISERROR(COUNTIF($D14:$Y14,1)/(COUNTIF($D14:$Y14,1)+COUNTIF($D14:$Y14,0))),"",COUNTIF($D14:$Y14,1)/(COUNTIF($D14:$Y14,1)+COUNTIF($D14:$Y14,0))*General!$D$7*10)</f>
        <v/>
      </c>
      <c r="BE14" s="124" t="str">
        <f>IFERROR(AVERAGE($Z14:$AQ14) * General!$E$7, "")</f>
        <v/>
      </c>
      <c r="BF14" s="125" t="str">
        <f>IFERROR(AVERAGE($AR14:$BA14) * General!$F$7, "")</f>
        <v/>
      </c>
      <c r="BG14" s="126" t="str">
        <f>IFERROR(AVERAGE($BB14) * General!$G$7, "")</f>
        <v/>
      </c>
      <c r="BH14" s="127" t="str">
        <f>IFERROR(AVERAGE($BC14) * General!$H$7, "")</f>
        <v/>
      </c>
      <c r="BI14" s="156">
        <f t="shared" si="0"/>
        <v>0</v>
      </c>
      <c r="BJ14" s="161" t="str">
        <f t="shared" si="1"/>
        <v/>
      </c>
    </row>
    <row r="15" spans="1:62" ht="15">
      <c r="A15" s="23">
        <f>IF(General!A16="","",General!A16)</f>
        <v>7</v>
      </c>
      <c r="B15" s="23" t="str">
        <f>IF(General!B16="","",General!B16)</f>
        <v/>
      </c>
      <c r="C15" s="23" t="str">
        <f>IF(General!C16="","",General!C16)</f>
        <v/>
      </c>
      <c r="D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109"/>
      <c r="W15" s="115"/>
      <c r="X15" s="98"/>
      <c r="Y15" s="99"/>
      <c r="Z15" s="50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2"/>
      <c r="AR15" s="53"/>
      <c r="AS15" s="54"/>
      <c r="AT15" s="54"/>
      <c r="AU15" s="54"/>
      <c r="AV15" s="54"/>
      <c r="AW15" s="54"/>
      <c r="AX15" s="54"/>
      <c r="AY15" s="54"/>
      <c r="AZ15" s="54"/>
      <c r="BA15" s="55"/>
      <c r="BB15" s="56"/>
      <c r="BC15" s="57"/>
      <c r="BD15" s="128" t="str">
        <f>IF(ISERROR(COUNTIF($D15:$Y15,1)/(COUNTIF($D15:$Y15,1)+COUNTIF($D15:$Y15,0))),"",COUNTIF($D15:$Y15,1)/(COUNTIF($D15:$Y15,1)+COUNTIF($D15:$Y15,0))*General!$D$7*10)</f>
        <v/>
      </c>
      <c r="BE15" s="129" t="str">
        <f>IFERROR(AVERAGE($Z15:$AQ15) * General!$E$7, "")</f>
        <v/>
      </c>
      <c r="BF15" s="130" t="str">
        <f>IFERROR(AVERAGE($AR15:$BA15) * General!$F$7, "")</f>
        <v/>
      </c>
      <c r="BG15" s="131" t="str">
        <f>IFERROR(AVERAGE($BB15) * General!$G$7, "")</f>
        <v/>
      </c>
      <c r="BH15" s="132" t="str">
        <f>IFERROR(AVERAGE($BC15) * General!$H$7, "")</f>
        <v/>
      </c>
      <c r="BI15" s="157">
        <f t="shared" si="0"/>
        <v>0</v>
      </c>
      <c r="BJ15" s="162" t="str">
        <f t="shared" si="1"/>
        <v/>
      </c>
    </row>
    <row r="16" spans="1:62" ht="15">
      <c r="A16" s="23">
        <f>IF(General!A17="","",General!A17)</f>
        <v>8</v>
      </c>
      <c r="B16" s="23" t="str">
        <f>IF(General!B17="","",General!B17)</f>
        <v/>
      </c>
      <c r="C16" s="23" t="str">
        <f>IF(General!C17="","",General!C17)</f>
        <v/>
      </c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109"/>
      <c r="W16" s="115"/>
      <c r="X16" s="98"/>
      <c r="Y16" s="99"/>
      <c r="Z16" s="50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2"/>
      <c r="AR16" s="53"/>
      <c r="AS16" s="54"/>
      <c r="AT16" s="54"/>
      <c r="AU16" s="54"/>
      <c r="AV16" s="54"/>
      <c r="AW16" s="54"/>
      <c r="AX16" s="54"/>
      <c r="AY16" s="54"/>
      <c r="AZ16" s="54"/>
      <c r="BA16" s="55"/>
      <c r="BB16" s="56"/>
      <c r="BC16" s="57"/>
      <c r="BD16" s="128" t="str">
        <f>IF(ISERROR(COUNTIF($D16:$Y16,1)/(COUNTIF($D16:$Y16,1)+COUNTIF($D16:$Y16,0))),"",COUNTIF($D16:$Y16,1)/(COUNTIF($D16:$Y16,1)+COUNTIF($D16:$Y16,0))*General!$D$7*10)</f>
        <v/>
      </c>
      <c r="BE16" s="129" t="str">
        <f>IFERROR(AVERAGE($Z16:$AQ16) * General!$E$7, "")</f>
        <v/>
      </c>
      <c r="BF16" s="130" t="str">
        <f>IFERROR(AVERAGE($AR16:$BA16) * General!$F$7, "")</f>
        <v/>
      </c>
      <c r="BG16" s="131" t="str">
        <f>IFERROR(AVERAGE($BB16) * General!$G$7, "")</f>
        <v/>
      </c>
      <c r="BH16" s="132" t="str">
        <f>IFERROR(AVERAGE($BC16) * General!$H$7, "")</f>
        <v/>
      </c>
      <c r="BI16" s="157">
        <f t="shared" si="0"/>
        <v>0</v>
      </c>
      <c r="BJ16" s="162" t="str">
        <f t="shared" si="1"/>
        <v/>
      </c>
    </row>
    <row r="17" spans="1:62" ht="15">
      <c r="A17" s="23">
        <f>IF(General!A18="","",General!A18)</f>
        <v>9</v>
      </c>
      <c r="B17" s="23" t="str">
        <f>IF(General!B18="","",General!B18)</f>
        <v/>
      </c>
      <c r="C17" s="23" t="str">
        <f>IF(General!C18="","",General!C18)</f>
        <v/>
      </c>
      <c r="D17" s="4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109"/>
      <c r="W17" s="115"/>
      <c r="X17" s="98"/>
      <c r="Y17" s="99"/>
      <c r="Z17" s="50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2"/>
      <c r="AR17" s="53"/>
      <c r="AS17" s="54"/>
      <c r="AT17" s="54"/>
      <c r="AU17" s="54"/>
      <c r="AV17" s="54"/>
      <c r="AW17" s="54"/>
      <c r="AX17" s="54"/>
      <c r="AY17" s="54"/>
      <c r="AZ17" s="54"/>
      <c r="BA17" s="55"/>
      <c r="BB17" s="56"/>
      <c r="BC17" s="57"/>
      <c r="BD17" s="128" t="str">
        <f>IF(ISERROR(COUNTIF($D17:$Y17,1)/(COUNTIF($D17:$Y17,1)+COUNTIF($D17:$Y17,0))),"",COUNTIF($D17:$Y17,1)/(COUNTIF($D17:$Y17,1)+COUNTIF($D17:$Y17,0))*General!$D$7*10)</f>
        <v/>
      </c>
      <c r="BE17" s="129" t="str">
        <f>IFERROR(AVERAGE($Z17:$AQ17) * General!$E$7, "")</f>
        <v/>
      </c>
      <c r="BF17" s="130" t="str">
        <f>IFERROR(AVERAGE($AR17:$BA17) * General!$F$7, "")</f>
        <v/>
      </c>
      <c r="BG17" s="131" t="str">
        <f>IFERROR(AVERAGE($BB17) * General!$G$7, "")</f>
        <v/>
      </c>
      <c r="BH17" s="132" t="str">
        <f>IFERROR(AVERAGE($BC17) * General!$H$7, "")</f>
        <v/>
      </c>
      <c r="BI17" s="157">
        <f t="shared" si="0"/>
        <v>0</v>
      </c>
      <c r="BJ17" s="162" t="str">
        <f t="shared" si="1"/>
        <v/>
      </c>
    </row>
    <row r="18" spans="1:62" ht="15.75" thickBot="1">
      <c r="A18" s="26">
        <f>IF(General!A19="","",General!A19)</f>
        <v>10</v>
      </c>
      <c r="B18" s="26" t="str">
        <f>IF(General!B19="","",General!B19)</f>
        <v/>
      </c>
      <c r="C18" s="26" t="str">
        <f>IF(General!C19="","",General!C19)</f>
        <v/>
      </c>
      <c r="D18" s="58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110"/>
      <c r="W18" s="116"/>
      <c r="X18" s="100"/>
      <c r="Y18" s="101"/>
      <c r="Z18" s="60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2"/>
      <c r="AR18" s="63"/>
      <c r="AS18" s="64"/>
      <c r="AT18" s="64"/>
      <c r="AU18" s="64"/>
      <c r="AV18" s="64"/>
      <c r="AW18" s="64"/>
      <c r="AX18" s="64"/>
      <c r="AY18" s="64"/>
      <c r="AZ18" s="64"/>
      <c r="BA18" s="65"/>
      <c r="BB18" s="66"/>
      <c r="BC18" s="67"/>
      <c r="BD18" s="133" t="str">
        <f>IF(ISERROR(COUNTIF($D18:$Y18,1)/(COUNTIF($D18:$Y18,1)+COUNTIF($D18:$Y18,0))),"",COUNTIF($D18:$Y18,1)/(COUNTIF($D18:$Y18,1)+COUNTIF($D18:$Y18,0))*General!$D$7*10)</f>
        <v/>
      </c>
      <c r="BE18" s="134" t="str">
        <f>IFERROR(AVERAGE($Z18:$AQ18) * General!$E$7, "")</f>
        <v/>
      </c>
      <c r="BF18" s="135" t="str">
        <f>IFERROR(AVERAGE($AR18:$BA18) * General!$F$7, "")</f>
        <v/>
      </c>
      <c r="BG18" s="136" t="str">
        <f>IFERROR(AVERAGE($BB18) * General!$G$7, "")</f>
        <v/>
      </c>
      <c r="BH18" s="137" t="str">
        <f>IFERROR(AVERAGE($BC18) * General!$H$7, "")</f>
        <v/>
      </c>
      <c r="BI18" s="158">
        <f t="shared" si="0"/>
        <v>0</v>
      </c>
      <c r="BJ18" s="164" t="str">
        <f t="shared" si="1"/>
        <v/>
      </c>
    </row>
    <row r="19" spans="1:62" ht="15.75" thickTop="1">
      <c r="A19" s="121">
        <f>IF(General!A20="","",General!A20)</f>
        <v>11</v>
      </c>
      <c r="B19" s="121" t="str">
        <f>IF(General!B20="","",General!B20)</f>
        <v/>
      </c>
      <c r="C19" s="121" t="str">
        <f>IF(General!C20="","",General!C20)</f>
        <v/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111"/>
      <c r="W19" s="117"/>
      <c r="X19" s="102"/>
      <c r="Y19" s="103"/>
      <c r="Z19" s="70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2"/>
      <c r="AR19" s="73"/>
      <c r="AS19" s="74"/>
      <c r="AT19" s="74"/>
      <c r="AU19" s="74"/>
      <c r="AV19" s="74"/>
      <c r="AW19" s="74"/>
      <c r="AX19" s="74"/>
      <c r="AY19" s="74"/>
      <c r="AZ19" s="74"/>
      <c r="BA19" s="75"/>
      <c r="BB19" s="76"/>
      <c r="BC19" s="47"/>
      <c r="BD19" s="123" t="str">
        <f>IF(ISERROR(COUNTIF($D19:$Y19,1)/(COUNTIF($D19:$Y19,1)+COUNTIF($D19:$Y19,0))),"",COUNTIF($D19:$Y19,1)/(COUNTIF($D19:$Y19,1)+COUNTIF($D19:$Y19,0))*General!$D$7*10)</f>
        <v/>
      </c>
      <c r="BE19" s="124" t="str">
        <f>IFERROR(AVERAGE($Z19:$AQ19) * General!$E$7, "")</f>
        <v/>
      </c>
      <c r="BF19" s="125" t="str">
        <f>IFERROR(AVERAGE($AR19:$BA19) * General!$F$7, "")</f>
        <v/>
      </c>
      <c r="BG19" s="126" t="str">
        <f>IFERROR(AVERAGE($BB19) * General!$G$7, "")</f>
        <v/>
      </c>
      <c r="BH19" s="127" t="str">
        <f>IFERROR(AVERAGE($BC19) * General!$H$7, "")</f>
        <v/>
      </c>
      <c r="BI19" s="156">
        <f t="shared" si="0"/>
        <v>0</v>
      </c>
      <c r="BJ19" s="161" t="str">
        <f t="shared" si="1"/>
        <v/>
      </c>
    </row>
    <row r="20" spans="1:62" ht="15">
      <c r="A20" s="23">
        <f>IF(General!A21="","",General!A21)</f>
        <v>12</v>
      </c>
      <c r="B20" s="23" t="str">
        <f>IF(General!B21="","",General!B21)</f>
        <v/>
      </c>
      <c r="C20" s="23" t="str">
        <f>IF(General!C21="","",General!C21)</f>
        <v/>
      </c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109"/>
      <c r="W20" s="115"/>
      <c r="X20" s="98"/>
      <c r="Y20" s="99"/>
      <c r="Z20" s="50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2"/>
      <c r="AR20" s="53"/>
      <c r="AS20" s="54"/>
      <c r="AT20" s="54"/>
      <c r="AU20" s="54"/>
      <c r="AV20" s="54"/>
      <c r="AW20" s="54"/>
      <c r="AX20" s="54"/>
      <c r="AY20" s="54"/>
      <c r="AZ20" s="54"/>
      <c r="BA20" s="55"/>
      <c r="BB20" s="56"/>
      <c r="BC20" s="57"/>
      <c r="BD20" s="128" t="str">
        <f>IF(ISERROR(COUNTIF($D20:$Y20,1)/(COUNTIF($D20:$Y20,1)+COUNTIF($D20:$Y20,0))),"",COUNTIF($D20:$Y20,1)/(COUNTIF($D20:$Y20,1)+COUNTIF($D20:$Y20,0))*General!$D$7*10)</f>
        <v/>
      </c>
      <c r="BE20" s="129" t="str">
        <f>IFERROR(AVERAGE($Z20:$AQ20) * General!$E$7, "")</f>
        <v/>
      </c>
      <c r="BF20" s="130" t="str">
        <f>IFERROR(AVERAGE($AR20:$BA20) * General!$F$7, "")</f>
        <v/>
      </c>
      <c r="BG20" s="131" t="str">
        <f>IFERROR(AVERAGE($BB20) * General!$G$7, "")</f>
        <v/>
      </c>
      <c r="BH20" s="132" t="str">
        <f>IFERROR(AVERAGE($BC20) * General!$H$7, "")</f>
        <v/>
      </c>
      <c r="BI20" s="157">
        <f t="shared" si="0"/>
        <v>0</v>
      </c>
      <c r="BJ20" s="162" t="str">
        <f t="shared" si="1"/>
        <v/>
      </c>
    </row>
    <row r="21" spans="1:62" ht="15">
      <c r="A21" s="23">
        <f>IF(General!A22="","",General!A22)</f>
        <v>13</v>
      </c>
      <c r="B21" s="23" t="str">
        <f>IF(General!B22="","",General!B22)</f>
        <v/>
      </c>
      <c r="C21" s="23" t="str">
        <f>IF(General!C22="","",General!C22)</f>
        <v/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109"/>
      <c r="W21" s="115"/>
      <c r="X21" s="98"/>
      <c r="Y21" s="99"/>
      <c r="Z21" s="50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2"/>
      <c r="AR21" s="53"/>
      <c r="AS21" s="54"/>
      <c r="AT21" s="54"/>
      <c r="AU21" s="54"/>
      <c r="AV21" s="54"/>
      <c r="AW21" s="54"/>
      <c r="AX21" s="54"/>
      <c r="AY21" s="54"/>
      <c r="AZ21" s="54"/>
      <c r="BA21" s="55"/>
      <c r="BB21" s="56"/>
      <c r="BC21" s="57"/>
      <c r="BD21" s="128" t="str">
        <f>IF(ISERROR(COUNTIF($D21:$Y21,1)/(COUNTIF($D21:$Y21,1)+COUNTIF($D21:$Y21,0))),"",COUNTIF($D21:$Y21,1)/(COUNTIF($D21:$Y21,1)+COUNTIF($D21:$Y21,0))*General!$D$7*10)</f>
        <v/>
      </c>
      <c r="BE21" s="129" t="str">
        <f>IFERROR(AVERAGE($Z21:$AQ21) * General!$E$7, "")</f>
        <v/>
      </c>
      <c r="BF21" s="130" t="str">
        <f>IFERROR(AVERAGE($AR21:$BA21) * General!$F$7, "")</f>
        <v/>
      </c>
      <c r="BG21" s="131" t="str">
        <f>IFERROR(AVERAGE($BB21) * General!$G$7, "")</f>
        <v/>
      </c>
      <c r="BH21" s="132" t="str">
        <f>IFERROR(AVERAGE($BC21) * General!$H$7, "")</f>
        <v/>
      </c>
      <c r="BI21" s="157">
        <f t="shared" si="0"/>
        <v>0</v>
      </c>
      <c r="BJ21" s="162" t="str">
        <f t="shared" si="1"/>
        <v/>
      </c>
    </row>
    <row r="22" spans="1:62" ht="15">
      <c r="A22" s="23">
        <f>IF(General!A23="","",General!A23)</f>
        <v>14</v>
      </c>
      <c r="B22" s="23" t="str">
        <f>IF(General!B23="","",General!B23)</f>
        <v/>
      </c>
      <c r="C22" s="23" t="str">
        <f>IF(General!C23="","",General!C23)</f>
        <v/>
      </c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109"/>
      <c r="W22" s="115"/>
      <c r="X22" s="98"/>
      <c r="Y22" s="99"/>
      <c r="Z22" s="50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2"/>
      <c r="AR22" s="53"/>
      <c r="AS22" s="54"/>
      <c r="AT22" s="54"/>
      <c r="AU22" s="54"/>
      <c r="AV22" s="54"/>
      <c r="AW22" s="54"/>
      <c r="AX22" s="54"/>
      <c r="AY22" s="54"/>
      <c r="AZ22" s="54"/>
      <c r="BA22" s="55"/>
      <c r="BB22" s="56"/>
      <c r="BC22" s="57"/>
      <c r="BD22" s="128" t="str">
        <f>IF(ISERROR(COUNTIF($D22:$Y22,1)/(COUNTIF($D22:$Y22,1)+COUNTIF($D22:$Y22,0))),"",COUNTIF($D22:$Y22,1)/(COUNTIF($D22:$Y22,1)+COUNTIF($D22:$Y22,0))*General!$D$7*10)</f>
        <v/>
      </c>
      <c r="BE22" s="129" t="str">
        <f>IFERROR(AVERAGE($Z22:$AQ22) * General!$E$7, "")</f>
        <v/>
      </c>
      <c r="BF22" s="130" t="str">
        <f>IFERROR(AVERAGE($AR22:$BA22) * General!$F$7, "")</f>
        <v/>
      </c>
      <c r="BG22" s="131" t="str">
        <f>IFERROR(AVERAGE($BB22) * General!$G$7, "")</f>
        <v/>
      </c>
      <c r="BH22" s="132" t="str">
        <f>IFERROR(AVERAGE($BC22) * General!$H$7, "")</f>
        <v/>
      </c>
      <c r="BI22" s="157">
        <f t="shared" si="0"/>
        <v>0</v>
      </c>
      <c r="BJ22" s="162" t="str">
        <f t="shared" si="1"/>
        <v/>
      </c>
    </row>
    <row r="23" spans="1:62" ht="15.75" thickBot="1">
      <c r="A23" s="26">
        <f>IF(General!A24="","",General!A24)</f>
        <v>15</v>
      </c>
      <c r="B23" s="26" t="str">
        <f>IF(General!B24="","",General!B24)</f>
        <v/>
      </c>
      <c r="C23" s="26" t="str">
        <f>IF(General!C24="","",General!C24)</f>
        <v/>
      </c>
      <c r="D23" s="58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110"/>
      <c r="W23" s="116"/>
      <c r="X23" s="100"/>
      <c r="Y23" s="101"/>
      <c r="Z23" s="60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2"/>
      <c r="AR23" s="63"/>
      <c r="AS23" s="64"/>
      <c r="AT23" s="64"/>
      <c r="AU23" s="64"/>
      <c r="AV23" s="64"/>
      <c r="AW23" s="64"/>
      <c r="AX23" s="64"/>
      <c r="AY23" s="64"/>
      <c r="AZ23" s="64"/>
      <c r="BA23" s="65"/>
      <c r="BB23" s="66"/>
      <c r="BC23" s="67"/>
      <c r="BD23" s="133" t="str">
        <f>IF(ISERROR(COUNTIF($D23:$Y23,1)/(COUNTIF($D23:$Y23,1)+COUNTIF($D23:$Y23,0))),"",COUNTIF($D23:$Y23,1)/(COUNTIF($D23:$Y23,1)+COUNTIF($D23:$Y23,0))*General!$D$7*10)</f>
        <v/>
      </c>
      <c r="BE23" s="134" t="str">
        <f>IFERROR(AVERAGE($Z23:$AQ23) * General!$E$7, "")</f>
        <v/>
      </c>
      <c r="BF23" s="135" t="str">
        <f>IFERROR(AVERAGE($AR23:$BA23) * General!$F$7, "")</f>
        <v/>
      </c>
      <c r="BG23" s="136" t="str">
        <f>IFERROR(AVERAGE($BB23) * General!$G$7, "")</f>
        <v/>
      </c>
      <c r="BH23" s="137" t="str">
        <f>IFERROR(AVERAGE($BC23) * General!$H$7, "")</f>
        <v/>
      </c>
      <c r="BI23" s="158">
        <f t="shared" si="0"/>
        <v>0</v>
      </c>
      <c r="BJ23" s="164" t="str">
        <f t="shared" si="1"/>
        <v/>
      </c>
    </row>
    <row r="24" spans="1:62" ht="15.75" thickTop="1">
      <c r="A24" s="121">
        <f>IF(General!A25="","",General!A25)</f>
        <v>16</v>
      </c>
      <c r="B24" s="121" t="str">
        <f>IF(General!B25="","",General!B25)</f>
        <v/>
      </c>
      <c r="C24" s="121" t="str">
        <f>IF(General!C25="","",General!C25)</f>
        <v/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111"/>
      <c r="W24" s="117"/>
      <c r="X24" s="102"/>
      <c r="Y24" s="103"/>
      <c r="Z24" s="70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2"/>
      <c r="AR24" s="73"/>
      <c r="AS24" s="74"/>
      <c r="AT24" s="74"/>
      <c r="AU24" s="74"/>
      <c r="AV24" s="74"/>
      <c r="AW24" s="74"/>
      <c r="AX24" s="74"/>
      <c r="AY24" s="74"/>
      <c r="AZ24" s="74"/>
      <c r="BA24" s="75"/>
      <c r="BB24" s="76"/>
      <c r="BC24" s="47"/>
      <c r="BD24" s="123" t="str">
        <f>IF(ISERROR(COUNTIF($D24:$Y24,1)/(COUNTIF($D24:$Y24,1)+COUNTIF($D24:$Y24,0))),"",COUNTIF($D24:$Y24,1)/(COUNTIF($D24:$Y24,1)+COUNTIF($D24:$Y24,0))*General!$D$7*10)</f>
        <v/>
      </c>
      <c r="BE24" s="124" t="str">
        <f>IFERROR(AVERAGE($Z24:$AQ24) * General!$E$7, "")</f>
        <v/>
      </c>
      <c r="BF24" s="125" t="str">
        <f>IFERROR(AVERAGE($AR24:$BA24) * General!$F$7, "")</f>
        <v/>
      </c>
      <c r="BG24" s="126" t="str">
        <f>IFERROR(AVERAGE($BB24) * General!$G$7, "")</f>
        <v/>
      </c>
      <c r="BH24" s="127" t="str">
        <f>IFERROR(AVERAGE($BC24) * General!$H$7, "")</f>
        <v/>
      </c>
      <c r="BI24" s="156">
        <f t="shared" si="0"/>
        <v>0</v>
      </c>
      <c r="BJ24" s="161" t="str">
        <f t="shared" si="1"/>
        <v/>
      </c>
    </row>
    <row r="25" spans="1:62" ht="15">
      <c r="A25" s="23">
        <f>IF(General!A26="","",General!A26)</f>
        <v>17</v>
      </c>
      <c r="B25" s="23" t="str">
        <f>IF(General!B26="","",General!B26)</f>
        <v/>
      </c>
      <c r="C25" s="23" t="str">
        <f>IF(General!C26="","",General!C26)</f>
        <v/>
      </c>
      <c r="D25" s="48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109"/>
      <c r="W25" s="115"/>
      <c r="X25" s="98"/>
      <c r="Y25" s="99"/>
      <c r="Z25" s="50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2"/>
      <c r="AR25" s="53"/>
      <c r="AS25" s="54"/>
      <c r="AT25" s="54"/>
      <c r="AU25" s="54"/>
      <c r="AV25" s="54"/>
      <c r="AW25" s="54"/>
      <c r="AX25" s="54"/>
      <c r="AY25" s="54"/>
      <c r="AZ25" s="54"/>
      <c r="BA25" s="55"/>
      <c r="BB25" s="56"/>
      <c r="BC25" s="57"/>
      <c r="BD25" s="128" t="str">
        <f>IF(ISERROR(COUNTIF($D25:$Y25,1)/(COUNTIF($D25:$Y25,1)+COUNTIF($D25:$Y25,0))),"",COUNTIF($D25:$Y25,1)/(COUNTIF($D25:$Y25,1)+COUNTIF($D25:$Y25,0))*General!$D$7*10)</f>
        <v/>
      </c>
      <c r="BE25" s="129" t="str">
        <f>IFERROR(AVERAGE($Z25:$AQ25) * General!$E$7, "")</f>
        <v/>
      </c>
      <c r="BF25" s="130" t="str">
        <f>IFERROR(AVERAGE($AR25:$BA25) * General!$F$7, "")</f>
        <v/>
      </c>
      <c r="BG25" s="131" t="str">
        <f>IFERROR(AVERAGE($BB25) * General!$G$7, "")</f>
        <v/>
      </c>
      <c r="BH25" s="132" t="str">
        <f>IFERROR(AVERAGE($BC25) * General!$H$7, "")</f>
        <v/>
      </c>
      <c r="BI25" s="157">
        <f t="shared" si="0"/>
        <v>0</v>
      </c>
      <c r="BJ25" s="162" t="str">
        <f t="shared" si="1"/>
        <v/>
      </c>
    </row>
    <row r="26" spans="1:62" ht="15">
      <c r="A26" s="23">
        <f>IF(General!A27="","",General!A27)</f>
        <v>18</v>
      </c>
      <c r="B26" s="23" t="str">
        <f>IF(General!B27="","",General!B27)</f>
        <v/>
      </c>
      <c r="C26" s="23" t="str">
        <f>IF(General!C27="","",General!C27)</f>
        <v/>
      </c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109"/>
      <c r="W26" s="115"/>
      <c r="X26" s="98"/>
      <c r="Y26" s="99"/>
      <c r="Z26" s="50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2"/>
      <c r="AR26" s="53"/>
      <c r="AS26" s="54"/>
      <c r="AT26" s="54"/>
      <c r="AU26" s="54"/>
      <c r="AV26" s="54"/>
      <c r="AW26" s="54"/>
      <c r="AX26" s="54"/>
      <c r="AY26" s="54"/>
      <c r="AZ26" s="54"/>
      <c r="BA26" s="55"/>
      <c r="BB26" s="56"/>
      <c r="BC26" s="57"/>
      <c r="BD26" s="128" t="str">
        <f>IF(ISERROR(COUNTIF($D26:$Y26,1)/(COUNTIF($D26:$Y26,1)+COUNTIF($D26:$Y26,0))),"",COUNTIF($D26:$Y26,1)/(COUNTIF($D26:$Y26,1)+COUNTIF($D26:$Y26,0))*General!$D$7*10)</f>
        <v/>
      </c>
      <c r="BE26" s="129" t="str">
        <f>IFERROR(AVERAGE($Z26:$AQ26) * General!$E$7, "")</f>
        <v/>
      </c>
      <c r="BF26" s="130" t="str">
        <f>IFERROR(AVERAGE($AR26:$BA26) * General!$F$7, "")</f>
        <v/>
      </c>
      <c r="BG26" s="131" t="str">
        <f>IFERROR(AVERAGE($BB26) * General!$G$7, "")</f>
        <v/>
      </c>
      <c r="BH26" s="132" t="str">
        <f>IFERROR(AVERAGE($BC26) * General!$H$7, "")</f>
        <v/>
      </c>
      <c r="BI26" s="157">
        <f t="shared" si="0"/>
        <v>0</v>
      </c>
      <c r="BJ26" s="162" t="str">
        <f t="shared" si="1"/>
        <v/>
      </c>
    </row>
    <row r="27" spans="1:62" ht="15">
      <c r="A27" s="23">
        <f>IF(General!A28="","",General!A28)</f>
        <v>19</v>
      </c>
      <c r="B27" s="23" t="str">
        <f>IF(General!B28="","",General!B28)</f>
        <v/>
      </c>
      <c r="C27" s="23" t="str">
        <f>IF(General!C28="","",General!C28)</f>
        <v/>
      </c>
      <c r="D27" s="48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109"/>
      <c r="W27" s="115"/>
      <c r="X27" s="98"/>
      <c r="Y27" s="99"/>
      <c r="Z27" s="50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2"/>
      <c r="AR27" s="53"/>
      <c r="AS27" s="54"/>
      <c r="AT27" s="54"/>
      <c r="AU27" s="54"/>
      <c r="AV27" s="54"/>
      <c r="AW27" s="54"/>
      <c r="AX27" s="54"/>
      <c r="AY27" s="54"/>
      <c r="AZ27" s="54"/>
      <c r="BA27" s="55"/>
      <c r="BB27" s="56"/>
      <c r="BC27" s="57"/>
      <c r="BD27" s="128" t="str">
        <f>IF(ISERROR(COUNTIF($D27:$Y27,1)/(COUNTIF($D27:$Y27,1)+COUNTIF($D27:$Y27,0))),"",COUNTIF($D27:$Y27,1)/(COUNTIF($D27:$Y27,1)+COUNTIF($D27:$Y27,0))*General!$D$7*10)</f>
        <v/>
      </c>
      <c r="BE27" s="129" t="str">
        <f>IFERROR(AVERAGE($Z27:$AQ27) * General!$E$7, "")</f>
        <v/>
      </c>
      <c r="BF27" s="130" t="str">
        <f>IFERROR(AVERAGE($AR27:$BA27) * General!$F$7, "")</f>
        <v/>
      </c>
      <c r="BG27" s="131" t="str">
        <f>IFERROR(AVERAGE($BB27) * General!$G$7, "")</f>
        <v/>
      </c>
      <c r="BH27" s="132" t="str">
        <f>IFERROR(AVERAGE($BC27) * General!$H$7, "")</f>
        <v/>
      </c>
      <c r="BI27" s="157">
        <f t="shared" si="0"/>
        <v>0</v>
      </c>
      <c r="BJ27" s="162" t="str">
        <f t="shared" si="1"/>
        <v/>
      </c>
    </row>
    <row r="28" spans="1:62" ht="15.75" thickBot="1">
      <c r="A28" s="26">
        <f>IF(General!A29="","",General!A29)</f>
        <v>20</v>
      </c>
      <c r="B28" s="26" t="str">
        <f>IF(General!B29="","",General!B29)</f>
        <v/>
      </c>
      <c r="C28" s="26" t="str">
        <f>IF(General!C29="","",General!C29)</f>
        <v/>
      </c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110"/>
      <c r="W28" s="116"/>
      <c r="X28" s="100"/>
      <c r="Y28" s="101"/>
      <c r="Z28" s="60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2"/>
      <c r="AR28" s="63"/>
      <c r="AS28" s="64"/>
      <c r="AT28" s="64"/>
      <c r="AU28" s="64"/>
      <c r="AV28" s="64"/>
      <c r="AW28" s="64"/>
      <c r="AX28" s="64"/>
      <c r="AY28" s="64"/>
      <c r="AZ28" s="64"/>
      <c r="BA28" s="65"/>
      <c r="BB28" s="66"/>
      <c r="BC28" s="67"/>
      <c r="BD28" s="133" t="str">
        <f>IF(ISERROR(COUNTIF($D28:$Y28,1)/(COUNTIF($D28:$Y28,1)+COUNTIF($D28:$Y28,0))),"",COUNTIF($D28:$Y28,1)/(COUNTIF($D28:$Y28,1)+COUNTIF($D28:$Y28,0))*General!$D$7*10)</f>
        <v/>
      </c>
      <c r="BE28" s="134" t="str">
        <f>IFERROR(AVERAGE($Z28:$AQ28) * General!$E$7, "")</f>
        <v/>
      </c>
      <c r="BF28" s="135" t="str">
        <f>IFERROR(AVERAGE($AR28:$BA28) * General!$F$7, "")</f>
        <v/>
      </c>
      <c r="BG28" s="136" t="str">
        <f>IFERROR(AVERAGE($BB28) * General!$G$7, "")</f>
        <v/>
      </c>
      <c r="BH28" s="137" t="str">
        <f>IFERROR(AVERAGE($BC28) * General!$H$7, "")</f>
        <v/>
      </c>
      <c r="BI28" s="158">
        <f t="shared" si="0"/>
        <v>0</v>
      </c>
      <c r="BJ28" s="164" t="str">
        <f t="shared" si="1"/>
        <v/>
      </c>
    </row>
    <row r="29" spans="1:62" ht="15.75" thickTop="1">
      <c r="A29" s="121">
        <f>IF(General!A30="","",General!A30)</f>
        <v>21</v>
      </c>
      <c r="B29" s="121" t="str">
        <f>IF(General!B30="","",General!B30)</f>
        <v/>
      </c>
      <c r="C29" s="121" t="str">
        <f>IF(General!C30="","",General!C30)</f>
        <v/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111"/>
      <c r="W29" s="117"/>
      <c r="X29" s="102"/>
      <c r="Y29" s="103"/>
      <c r="Z29" s="70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2"/>
      <c r="AR29" s="73"/>
      <c r="AS29" s="74"/>
      <c r="AT29" s="74"/>
      <c r="AU29" s="74"/>
      <c r="AV29" s="74"/>
      <c r="AW29" s="74"/>
      <c r="AX29" s="74"/>
      <c r="AY29" s="74"/>
      <c r="AZ29" s="74"/>
      <c r="BA29" s="75"/>
      <c r="BB29" s="76"/>
      <c r="BC29" s="47"/>
      <c r="BD29" s="123" t="str">
        <f>IF(ISERROR(COUNTIF($D29:$Y29,1)/(COUNTIF($D29:$Y29,1)+COUNTIF($D29:$Y29,0))),"",COUNTIF($D29:$Y29,1)/(COUNTIF($D29:$Y29,1)+COUNTIF($D29:$Y29,0))*General!$D$7*10)</f>
        <v/>
      </c>
      <c r="BE29" s="124" t="str">
        <f>IFERROR(AVERAGE($Z29:$AQ29) * General!$E$7, "")</f>
        <v/>
      </c>
      <c r="BF29" s="125" t="str">
        <f>IFERROR(AVERAGE($AR29:$BA29) * General!$F$7, "")</f>
        <v/>
      </c>
      <c r="BG29" s="126" t="str">
        <f>IFERROR(AVERAGE($BB29) * General!$G$7, "")</f>
        <v/>
      </c>
      <c r="BH29" s="127" t="str">
        <f>IFERROR(AVERAGE($BC29) * General!$H$7, "")</f>
        <v/>
      </c>
      <c r="BI29" s="156">
        <f t="shared" si="0"/>
        <v>0</v>
      </c>
      <c r="BJ29" s="161" t="str">
        <f t="shared" si="1"/>
        <v/>
      </c>
    </row>
    <row r="30" spans="1:62" ht="15">
      <c r="A30" s="23">
        <f>IF(General!A31="","",General!A31)</f>
        <v>22</v>
      </c>
      <c r="B30" s="23" t="str">
        <f>IF(General!B31="","",General!B31)</f>
        <v/>
      </c>
      <c r="C30" s="23" t="str">
        <f>IF(General!C31="","",General!C31)</f>
        <v/>
      </c>
      <c r="D30" s="4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109"/>
      <c r="W30" s="115"/>
      <c r="X30" s="98"/>
      <c r="Y30" s="99"/>
      <c r="Z30" s="50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2"/>
      <c r="AR30" s="53"/>
      <c r="AS30" s="54"/>
      <c r="AT30" s="54"/>
      <c r="AU30" s="54"/>
      <c r="AV30" s="54"/>
      <c r="AW30" s="54"/>
      <c r="AX30" s="54"/>
      <c r="AY30" s="54"/>
      <c r="AZ30" s="54"/>
      <c r="BA30" s="55"/>
      <c r="BB30" s="56"/>
      <c r="BC30" s="57"/>
      <c r="BD30" s="128" t="str">
        <f>IF(ISERROR(COUNTIF($D30:$Y30,1)/(COUNTIF($D30:$Y30,1)+COUNTIF($D30:$Y30,0))),"",COUNTIF($D30:$Y30,1)/(COUNTIF($D30:$Y30,1)+COUNTIF($D30:$Y30,0))*General!$D$7*10)</f>
        <v/>
      </c>
      <c r="BE30" s="129" t="str">
        <f>IFERROR(AVERAGE($Z30:$AQ30) * General!$E$7, "")</f>
        <v/>
      </c>
      <c r="BF30" s="130" t="str">
        <f>IFERROR(AVERAGE($AR30:$BA30) * General!$F$7, "")</f>
        <v/>
      </c>
      <c r="BG30" s="131" t="str">
        <f>IFERROR(AVERAGE($BB30) * General!$G$7, "")</f>
        <v/>
      </c>
      <c r="BH30" s="132" t="str">
        <f>IFERROR(AVERAGE($BC30) * General!$H$7, "")</f>
        <v/>
      </c>
      <c r="BI30" s="157">
        <f t="shared" si="0"/>
        <v>0</v>
      </c>
      <c r="BJ30" s="162" t="str">
        <f t="shared" si="1"/>
        <v/>
      </c>
    </row>
    <row r="31" spans="1:62" ht="15">
      <c r="A31" s="23">
        <f>IF(General!A32="","",General!A32)</f>
        <v>23</v>
      </c>
      <c r="B31" s="23" t="str">
        <f>IF(General!B32="","",General!B32)</f>
        <v/>
      </c>
      <c r="C31" s="23" t="str">
        <f>IF(General!C32="","",General!C32)</f>
        <v/>
      </c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109"/>
      <c r="W31" s="115"/>
      <c r="X31" s="98"/>
      <c r="Y31" s="99"/>
      <c r="Z31" s="50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2"/>
      <c r="AR31" s="53"/>
      <c r="AS31" s="54"/>
      <c r="AT31" s="54"/>
      <c r="AU31" s="54"/>
      <c r="AV31" s="54"/>
      <c r="AW31" s="54"/>
      <c r="AX31" s="54"/>
      <c r="AY31" s="54"/>
      <c r="AZ31" s="54"/>
      <c r="BA31" s="55"/>
      <c r="BB31" s="56"/>
      <c r="BC31" s="57"/>
      <c r="BD31" s="128" t="str">
        <f>IF(ISERROR(COUNTIF($D31:$Y31,1)/(COUNTIF($D31:$Y31,1)+COUNTIF($D31:$Y31,0))),"",COUNTIF($D31:$Y31,1)/(COUNTIF($D31:$Y31,1)+COUNTIF($D31:$Y31,0))*General!$D$7*10)</f>
        <v/>
      </c>
      <c r="BE31" s="129" t="str">
        <f>IFERROR(AVERAGE($Z31:$AQ31) * General!$E$7, "")</f>
        <v/>
      </c>
      <c r="BF31" s="130" t="str">
        <f>IFERROR(AVERAGE($AR31:$BA31) * General!$F$7, "")</f>
        <v/>
      </c>
      <c r="BG31" s="131" t="str">
        <f>IFERROR(AVERAGE($BB31) * General!$G$7, "")</f>
        <v/>
      </c>
      <c r="BH31" s="132" t="str">
        <f>IFERROR(AVERAGE($BC31) * General!$H$7, "")</f>
        <v/>
      </c>
      <c r="BI31" s="157">
        <f t="shared" si="0"/>
        <v>0</v>
      </c>
      <c r="BJ31" s="162" t="str">
        <f t="shared" si="1"/>
        <v/>
      </c>
    </row>
    <row r="32" spans="1:62" ht="15">
      <c r="A32" s="23">
        <f>IF(General!A33="","",General!A33)</f>
        <v>24</v>
      </c>
      <c r="B32" s="23" t="str">
        <f>IF(General!B33="","",General!B33)</f>
        <v/>
      </c>
      <c r="C32" s="23" t="str">
        <f>IF(General!C33="","",General!C33)</f>
        <v/>
      </c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109"/>
      <c r="W32" s="115"/>
      <c r="X32" s="98"/>
      <c r="Y32" s="99"/>
      <c r="Z32" s="50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2"/>
      <c r="AR32" s="53"/>
      <c r="AS32" s="54"/>
      <c r="AT32" s="54"/>
      <c r="AU32" s="54"/>
      <c r="AV32" s="54"/>
      <c r="AW32" s="54"/>
      <c r="AX32" s="54"/>
      <c r="AY32" s="54"/>
      <c r="AZ32" s="54"/>
      <c r="BA32" s="55"/>
      <c r="BB32" s="56"/>
      <c r="BC32" s="57"/>
      <c r="BD32" s="128" t="str">
        <f>IF(ISERROR(COUNTIF($D32:$Y32,1)/(COUNTIF($D32:$Y32,1)+COUNTIF($D32:$Y32,0))),"",COUNTIF($D32:$Y32,1)/(COUNTIF($D32:$Y32,1)+COUNTIF($D32:$Y32,0))*General!$D$7*10)</f>
        <v/>
      </c>
      <c r="BE32" s="129" t="str">
        <f>IFERROR(AVERAGE($Z32:$AQ32) * General!$E$7, "")</f>
        <v/>
      </c>
      <c r="BF32" s="130" t="str">
        <f>IFERROR(AVERAGE($AR32:$BA32) * General!$F$7, "")</f>
        <v/>
      </c>
      <c r="BG32" s="131" t="str">
        <f>IFERROR(AVERAGE($BB32) * General!$G$7, "")</f>
        <v/>
      </c>
      <c r="BH32" s="132" t="str">
        <f>IFERROR(AVERAGE($BC32) * General!$H$7, "")</f>
        <v/>
      </c>
      <c r="BI32" s="157">
        <f t="shared" si="0"/>
        <v>0</v>
      </c>
      <c r="BJ32" s="162" t="str">
        <f t="shared" si="1"/>
        <v/>
      </c>
    </row>
    <row r="33" spans="1:62" ht="15.75" thickBot="1">
      <c r="A33" s="26">
        <f>IF(General!A34="","",General!A34)</f>
        <v>25</v>
      </c>
      <c r="B33" s="26" t="str">
        <f>IF(General!B34="","",General!B34)</f>
        <v/>
      </c>
      <c r="C33" s="26" t="str">
        <f>IF(General!C34="","",General!C34)</f>
        <v/>
      </c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110"/>
      <c r="W33" s="116"/>
      <c r="X33" s="100"/>
      <c r="Y33" s="101"/>
      <c r="Z33" s="60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2"/>
      <c r="AR33" s="63"/>
      <c r="AS33" s="64"/>
      <c r="AT33" s="64"/>
      <c r="AU33" s="64"/>
      <c r="AV33" s="64"/>
      <c r="AW33" s="64"/>
      <c r="AX33" s="64"/>
      <c r="AY33" s="64"/>
      <c r="AZ33" s="64"/>
      <c r="BA33" s="65"/>
      <c r="BB33" s="66"/>
      <c r="BC33" s="67"/>
      <c r="BD33" s="133" t="str">
        <f>IF(ISERROR(COUNTIF($D33:$Y33,1)/(COUNTIF($D33:$Y33,1)+COUNTIF($D33:$Y33,0))),"",COUNTIF($D33:$Y33,1)/(COUNTIF($D33:$Y33,1)+COUNTIF($D33:$Y33,0))*General!$D$7*10)</f>
        <v/>
      </c>
      <c r="BE33" s="134" t="str">
        <f>IFERROR(AVERAGE($Z33:$AQ33) * General!$E$7, "")</f>
        <v/>
      </c>
      <c r="BF33" s="135" t="str">
        <f>IFERROR(AVERAGE($AR33:$BA33) * General!$F$7, "")</f>
        <v/>
      </c>
      <c r="BG33" s="136" t="str">
        <f>IFERROR(AVERAGE($BB33) * General!$G$7, "")</f>
        <v/>
      </c>
      <c r="BH33" s="137" t="str">
        <f>IFERROR(AVERAGE($BC33) * General!$H$7, "")</f>
        <v/>
      </c>
      <c r="BI33" s="158">
        <f t="shared" si="0"/>
        <v>0</v>
      </c>
      <c r="BJ33" s="164" t="str">
        <f t="shared" si="1"/>
        <v/>
      </c>
    </row>
    <row r="34" spans="1:62" ht="15.75" thickTop="1">
      <c r="A34" s="121">
        <f>IF(General!A35="","",General!A35)</f>
        <v>26</v>
      </c>
      <c r="B34" s="121" t="str">
        <f>IF(General!B35="","",General!B35)</f>
        <v/>
      </c>
      <c r="C34" s="121" t="str">
        <f>IF(General!C35="","",General!C35)</f>
        <v/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111"/>
      <c r="W34" s="117"/>
      <c r="X34" s="102"/>
      <c r="Y34" s="103"/>
      <c r="Z34" s="70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2"/>
      <c r="AR34" s="73"/>
      <c r="AS34" s="74"/>
      <c r="AT34" s="74"/>
      <c r="AU34" s="74"/>
      <c r="AV34" s="74"/>
      <c r="AW34" s="74"/>
      <c r="AX34" s="74"/>
      <c r="AY34" s="74"/>
      <c r="AZ34" s="74"/>
      <c r="BA34" s="75"/>
      <c r="BB34" s="76"/>
      <c r="BC34" s="47"/>
      <c r="BD34" s="123" t="str">
        <f>IF(ISERROR(COUNTIF($D34:$Y34,1)/(COUNTIF($D34:$Y34,1)+COUNTIF($D34:$Y34,0))),"",COUNTIF($D34:$Y34,1)/(COUNTIF($D34:$Y34,1)+COUNTIF($D34:$Y34,0))*General!$D$7*10)</f>
        <v/>
      </c>
      <c r="BE34" s="124" t="str">
        <f>IFERROR(AVERAGE($Z34:$AQ34) * General!$E$7, "")</f>
        <v/>
      </c>
      <c r="BF34" s="125" t="str">
        <f>IFERROR(AVERAGE($AR34:$BA34) * General!$F$7, "")</f>
        <v/>
      </c>
      <c r="BG34" s="126" t="str">
        <f>IFERROR(AVERAGE($BB34) * General!$G$7, "")</f>
        <v/>
      </c>
      <c r="BH34" s="127" t="str">
        <f>IFERROR(AVERAGE($BC34) * General!$H$7, "")</f>
        <v/>
      </c>
      <c r="BI34" s="156">
        <f t="shared" si="0"/>
        <v>0</v>
      </c>
      <c r="BJ34" s="161" t="str">
        <f t="shared" si="1"/>
        <v/>
      </c>
    </row>
    <row r="35" spans="1:62" ht="15">
      <c r="A35" s="23">
        <f>IF(General!A36="","",General!A36)</f>
        <v>27</v>
      </c>
      <c r="B35" s="23" t="str">
        <f>IF(General!B36="","",General!B36)</f>
        <v/>
      </c>
      <c r="C35" s="23" t="str">
        <f>IF(General!C36="","",General!C36)</f>
        <v/>
      </c>
      <c r="D35" s="48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109"/>
      <c r="W35" s="115"/>
      <c r="X35" s="98"/>
      <c r="Y35" s="99"/>
      <c r="Z35" s="50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2"/>
      <c r="AR35" s="53"/>
      <c r="AS35" s="54"/>
      <c r="AT35" s="54"/>
      <c r="AU35" s="54"/>
      <c r="AV35" s="54"/>
      <c r="AW35" s="54"/>
      <c r="AX35" s="54"/>
      <c r="AY35" s="54"/>
      <c r="AZ35" s="54"/>
      <c r="BA35" s="55"/>
      <c r="BB35" s="56"/>
      <c r="BC35" s="57"/>
      <c r="BD35" s="128" t="str">
        <f>IF(ISERROR(COUNTIF($D35:$Y35,1)/(COUNTIF($D35:$Y35,1)+COUNTIF($D35:$Y35,0))),"",COUNTIF($D35:$Y35,1)/(COUNTIF($D35:$Y35,1)+COUNTIF($D35:$Y35,0))*General!$D$7*10)</f>
        <v/>
      </c>
      <c r="BE35" s="129" t="str">
        <f>IFERROR(AVERAGE($Z35:$AQ35) * General!$E$7, "")</f>
        <v/>
      </c>
      <c r="BF35" s="130" t="str">
        <f>IFERROR(AVERAGE($AR35:$BA35) * General!$F$7, "")</f>
        <v/>
      </c>
      <c r="BG35" s="131" t="str">
        <f>IFERROR(AVERAGE($BB35) * General!$G$7, "")</f>
        <v/>
      </c>
      <c r="BH35" s="132" t="str">
        <f>IFERROR(AVERAGE($BC35) * General!$H$7, "")</f>
        <v/>
      </c>
      <c r="BI35" s="157">
        <f t="shared" si="0"/>
        <v>0</v>
      </c>
      <c r="BJ35" s="162" t="str">
        <f t="shared" si="1"/>
        <v/>
      </c>
    </row>
    <row r="36" spans="1:62" ht="15">
      <c r="A36" s="23">
        <f>IF(General!A37="","",General!A37)</f>
        <v>28</v>
      </c>
      <c r="B36" s="23" t="str">
        <f>IF(General!B37="","",General!B37)</f>
        <v/>
      </c>
      <c r="C36" s="23" t="str">
        <f>IF(General!C37="","",General!C37)</f>
        <v/>
      </c>
      <c r="D36" s="48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109"/>
      <c r="W36" s="115"/>
      <c r="X36" s="98"/>
      <c r="Y36" s="99"/>
      <c r="Z36" s="5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2"/>
      <c r="AR36" s="53"/>
      <c r="AS36" s="54"/>
      <c r="AT36" s="54"/>
      <c r="AU36" s="54"/>
      <c r="AV36" s="54"/>
      <c r="AW36" s="54"/>
      <c r="AX36" s="54"/>
      <c r="AY36" s="54"/>
      <c r="AZ36" s="54"/>
      <c r="BA36" s="55"/>
      <c r="BB36" s="56"/>
      <c r="BC36" s="57"/>
      <c r="BD36" s="128" t="str">
        <f>IF(ISERROR(COUNTIF($D36:$Y36,1)/(COUNTIF($D36:$Y36,1)+COUNTIF($D36:$Y36,0))),"",COUNTIF($D36:$Y36,1)/(COUNTIF($D36:$Y36,1)+COUNTIF($D36:$Y36,0))*General!$D$7*10)</f>
        <v/>
      </c>
      <c r="BE36" s="129" t="str">
        <f>IFERROR(AVERAGE($Z36:$AQ36) * General!$E$7, "")</f>
        <v/>
      </c>
      <c r="BF36" s="130" t="str">
        <f>IFERROR(AVERAGE($AR36:$BA36) * General!$F$7, "")</f>
        <v/>
      </c>
      <c r="BG36" s="131" t="str">
        <f>IFERROR(AVERAGE($BB36) * General!$G$7, "")</f>
        <v/>
      </c>
      <c r="BH36" s="132" t="str">
        <f>IFERROR(AVERAGE($BC36) * General!$H$7, "")</f>
        <v/>
      </c>
      <c r="BI36" s="157">
        <f t="shared" si="0"/>
        <v>0</v>
      </c>
      <c r="BJ36" s="162" t="str">
        <f t="shared" si="1"/>
        <v/>
      </c>
    </row>
    <row r="37" spans="1:62" ht="15">
      <c r="A37" s="23">
        <f>IF(General!A38="","",General!A38)</f>
        <v>29</v>
      </c>
      <c r="B37" s="23" t="str">
        <f>IF(General!B38="","",General!B38)</f>
        <v/>
      </c>
      <c r="C37" s="23" t="str">
        <f>IF(General!C38="","",General!C38)</f>
        <v/>
      </c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109"/>
      <c r="W37" s="115"/>
      <c r="X37" s="98"/>
      <c r="Y37" s="99"/>
      <c r="Z37" s="50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2"/>
      <c r="AR37" s="53"/>
      <c r="AS37" s="54"/>
      <c r="AT37" s="54"/>
      <c r="AU37" s="54"/>
      <c r="AV37" s="54"/>
      <c r="AW37" s="54"/>
      <c r="AX37" s="54"/>
      <c r="AY37" s="54"/>
      <c r="AZ37" s="54"/>
      <c r="BA37" s="55"/>
      <c r="BB37" s="56"/>
      <c r="BC37" s="57"/>
      <c r="BD37" s="128" t="str">
        <f>IF(ISERROR(COUNTIF($D37:$Y37,1)/(COUNTIF($D37:$Y37,1)+COUNTIF($D37:$Y37,0))),"",COUNTIF($D37:$Y37,1)/(COUNTIF($D37:$Y37,1)+COUNTIF($D37:$Y37,0))*General!$D$7*10)</f>
        <v/>
      </c>
      <c r="BE37" s="129" t="str">
        <f>IFERROR(AVERAGE($Z37:$AQ37) * General!$E$7, "")</f>
        <v/>
      </c>
      <c r="BF37" s="130" t="str">
        <f>IFERROR(AVERAGE($AR37:$BA37) * General!$F$7, "")</f>
        <v/>
      </c>
      <c r="BG37" s="131" t="str">
        <f>IFERROR(AVERAGE($BB37) * General!$G$7, "")</f>
        <v/>
      </c>
      <c r="BH37" s="132" t="str">
        <f>IFERROR(AVERAGE($BC37) * General!$H$7, "")</f>
        <v/>
      </c>
      <c r="BI37" s="157">
        <f t="shared" si="0"/>
        <v>0</v>
      </c>
      <c r="BJ37" s="162" t="str">
        <f t="shared" si="1"/>
        <v/>
      </c>
    </row>
    <row r="38" spans="1:62" ht="15.75" thickBot="1">
      <c r="A38" s="26">
        <f>IF(General!A39="","",General!A39)</f>
        <v>30</v>
      </c>
      <c r="B38" s="26" t="str">
        <f>IF(General!B39="","",General!B39)</f>
        <v/>
      </c>
      <c r="C38" s="26" t="str">
        <f>IF(General!C39="","",General!C39)</f>
        <v/>
      </c>
      <c r="D38" s="58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110"/>
      <c r="W38" s="116"/>
      <c r="X38" s="100"/>
      <c r="Y38" s="101"/>
      <c r="Z38" s="60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63"/>
      <c r="AS38" s="64"/>
      <c r="AT38" s="64"/>
      <c r="AU38" s="64"/>
      <c r="AV38" s="64"/>
      <c r="AW38" s="64"/>
      <c r="AX38" s="64"/>
      <c r="AY38" s="64"/>
      <c r="AZ38" s="64"/>
      <c r="BA38" s="65"/>
      <c r="BB38" s="66"/>
      <c r="BC38" s="67"/>
      <c r="BD38" s="133" t="str">
        <f>IF(ISERROR(COUNTIF($D38:$Y38,1)/(COUNTIF($D38:$Y38,1)+COUNTIF($D38:$Y38,0))),"",COUNTIF($D38:$Y38,1)/(COUNTIF($D38:$Y38,1)+COUNTIF($D38:$Y38,0))*General!$D$7*10)</f>
        <v/>
      </c>
      <c r="BE38" s="134" t="str">
        <f>IFERROR(AVERAGE($Z38:$AQ38) * General!$E$7, "")</f>
        <v/>
      </c>
      <c r="BF38" s="135" t="str">
        <f>IFERROR(AVERAGE($AR38:$BA38) * General!$F$7, "")</f>
        <v/>
      </c>
      <c r="BG38" s="136" t="str">
        <f>IFERROR(AVERAGE($BB38) * General!$G$7, "")</f>
        <v/>
      </c>
      <c r="BH38" s="137" t="str">
        <f>IFERROR(AVERAGE($BC38) * General!$H$7, "")</f>
        <v/>
      </c>
      <c r="BI38" s="158">
        <f t="shared" si="0"/>
        <v>0</v>
      </c>
      <c r="BJ38" s="164" t="str">
        <f t="shared" si="1"/>
        <v/>
      </c>
    </row>
    <row r="39" spans="1:62" ht="15.75" thickTop="1">
      <c r="A39" s="121">
        <f>IF(General!A40="","",General!A40)</f>
        <v>31</v>
      </c>
      <c r="B39" s="121" t="str">
        <f>IF(General!B40="","",General!B40)</f>
        <v/>
      </c>
      <c r="C39" s="121" t="str">
        <f>IF(General!C40="","",General!C40)</f>
        <v/>
      </c>
      <c r="D39" s="68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111"/>
      <c r="W39" s="117"/>
      <c r="X39" s="102"/>
      <c r="Y39" s="103"/>
      <c r="Z39" s="70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2"/>
      <c r="AR39" s="73"/>
      <c r="AS39" s="74"/>
      <c r="AT39" s="74"/>
      <c r="AU39" s="74"/>
      <c r="AV39" s="74"/>
      <c r="AW39" s="74"/>
      <c r="AX39" s="74"/>
      <c r="AY39" s="74"/>
      <c r="AZ39" s="74"/>
      <c r="BA39" s="75"/>
      <c r="BB39" s="76"/>
      <c r="BC39" s="47"/>
      <c r="BD39" s="123" t="str">
        <f>IF(ISERROR(COUNTIF($D39:$Y39,1)/(COUNTIF($D39:$Y39,1)+COUNTIF($D39:$Y39,0))),"",COUNTIF($D39:$Y39,1)/(COUNTIF($D39:$Y39,1)+COUNTIF($D39:$Y39,0))*General!$D$7*10)</f>
        <v/>
      </c>
      <c r="BE39" s="124" t="str">
        <f>IFERROR(AVERAGE($Z39:$AQ39) * General!$E$7, "")</f>
        <v/>
      </c>
      <c r="BF39" s="125" t="str">
        <f>IFERROR(AVERAGE($AR39:$BA39) * General!$F$7, "")</f>
        <v/>
      </c>
      <c r="BG39" s="126" t="str">
        <f>IFERROR(AVERAGE($BB39) * General!$G$7, "")</f>
        <v/>
      </c>
      <c r="BH39" s="127" t="str">
        <f>IFERROR(AVERAGE($BC39) * General!$H$7, "")</f>
        <v/>
      </c>
      <c r="BI39" s="156">
        <f t="shared" si="0"/>
        <v>0</v>
      </c>
      <c r="BJ39" s="161" t="str">
        <f t="shared" si="1"/>
        <v/>
      </c>
    </row>
    <row r="40" spans="1:62" ht="15">
      <c r="A40" s="23">
        <f>IF(General!A41="","",General!A41)</f>
        <v>32</v>
      </c>
      <c r="B40" s="23" t="str">
        <f>IF(General!B41="","",General!B41)</f>
        <v/>
      </c>
      <c r="C40" s="23" t="str">
        <f>IF(General!C41="","",General!C41)</f>
        <v/>
      </c>
      <c r="D40" s="48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109"/>
      <c r="W40" s="115"/>
      <c r="X40" s="98"/>
      <c r="Y40" s="99"/>
      <c r="Z40" s="50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2"/>
      <c r="AR40" s="53"/>
      <c r="AS40" s="54"/>
      <c r="AT40" s="54"/>
      <c r="AU40" s="54"/>
      <c r="AV40" s="54"/>
      <c r="AW40" s="54"/>
      <c r="AX40" s="54"/>
      <c r="AY40" s="54"/>
      <c r="AZ40" s="54"/>
      <c r="BA40" s="55"/>
      <c r="BB40" s="56"/>
      <c r="BC40" s="57"/>
      <c r="BD40" s="128" t="str">
        <f>IF(ISERROR(COUNTIF($D40:$Y40,1)/(COUNTIF($D40:$Y40,1)+COUNTIF($D40:$Y40,0))),"",COUNTIF($D40:$Y40,1)/(COUNTIF($D40:$Y40,1)+COUNTIF($D40:$Y40,0))*General!$D$7*10)</f>
        <v/>
      </c>
      <c r="BE40" s="129" t="str">
        <f>IFERROR(AVERAGE($Z40:$AQ40) * General!$E$7, "")</f>
        <v/>
      </c>
      <c r="BF40" s="130" t="str">
        <f>IFERROR(AVERAGE($AR40:$BA40) * General!$F$7, "")</f>
        <v/>
      </c>
      <c r="BG40" s="131" t="str">
        <f>IFERROR(AVERAGE($BB40) * General!$G$7, "")</f>
        <v/>
      </c>
      <c r="BH40" s="132" t="str">
        <f>IFERROR(AVERAGE($BC40) * General!$H$7, "")</f>
        <v/>
      </c>
      <c r="BI40" s="157">
        <f t="shared" si="0"/>
        <v>0</v>
      </c>
      <c r="BJ40" s="162" t="str">
        <f t="shared" si="1"/>
        <v/>
      </c>
    </row>
    <row r="41" spans="1:62" ht="15">
      <c r="A41" s="23">
        <f>IF(General!A42="","",General!A42)</f>
        <v>33</v>
      </c>
      <c r="B41" s="23" t="str">
        <f>IF(General!B42="","",General!B42)</f>
        <v/>
      </c>
      <c r="C41" s="23" t="str">
        <f>IF(General!C42="","",General!C42)</f>
        <v/>
      </c>
      <c r="D41" s="48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109"/>
      <c r="W41" s="115"/>
      <c r="X41" s="98"/>
      <c r="Y41" s="99"/>
      <c r="Z41" s="50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2"/>
      <c r="AR41" s="53"/>
      <c r="AS41" s="54"/>
      <c r="AT41" s="54"/>
      <c r="AU41" s="54"/>
      <c r="AV41" s="54"/>
      <c r="AW41" s="54"/>
      <c r="AX41" s="54"/>
      <c r="AY41" s="54"/>
      <c r="AZ41" s="54"/>
      <c r="BA41" s="55"/>
      <c r="BB41" s="56"/>
      <c r="BC41" s="57"/>
      <c r="BD41" s="128" t="str">
        <f>IF(ISERROR(COUNTIF($D41:$Y41,1)/(COUNTIF($D41:$Y41,1)+COUNTIF($D41:$Y41,0))),"",COUNTIF($D41:$Y41,1)/(COUNTIF($D41:$Y41,1)+COUNTIF($D41:$Y41,0))*General!$D$7*10)</f>
        <v/>
      </c>
      <c r="BE41" s="129" t="str">
        <f>IFERROR(AVERAGE($Z41:$AQ41) * General!$E$7, "")</f>
        <v/>
      </c>
      <c r="BF41" s="130" t="str">
        <f>IFERROR(AVERAGE($AR41:$BA41) * General!$F$7, "")</f>
        <v/>
      </c>
      <c r="BG41" s="131" t="str">
        <f>IFERROR(AVERAGE($BB41) * General!$G$7, "")</f>
        <v/>
      </c>
      <c r="BH41" s="132" t="str">
        <f>IFERROR(AVERAGE($BC41) * General!$H$7, "")</f>
        <v/>
      </c>
      <c r="BI41" s="157">
        <f t="shared" si="0"/>
        <v>0</v>
      </c>
      <c r="BJ41" s="162" t="str">
        <f t="shared" si="1"/>
        <v/>
      </c>
    </row>
    <row r="42" spans="1:62" ht="15">
      <c r="A42" s="23">
        <f>IF(General!A43="","",General!A43)</f>
        <v>34</v>
      </c>
      <c r="B42" s="23" t="str">
        <f>IF(General!B43="","",General!B43)</f>
        <v/>
      </c>
      <c r="C42" s="23" t="str">
        <f>IF(General!C43="","",General!C43)</f>
        <v/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109"/>
      <c r="W42" s="115"/>
      <c r="X42" s="98"/>
      <c r="Y42" s="99"/>
      <c r="Z42" s="50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2"/>
      <c r="AR42" s="53"/>
      <c r="AS42" s="54"/>
      <c r="AT42" s="54"/>
      <c r="AU42" s="54"/>
      <c r="AV42" s="54"/>
      <c r="AW42" s="54"/>
      <c r="AX42" s="54"/>
      <c r="AY42" s="54"/>
      <c r="AZ42" s="54"/>
      <c r="BA42" s="55"/>
      <c r="BB42" s="56"/>
      <c r="BC42" s="57"/>
      <c r="BD42" s="128" t="str">
        <f>IF(ISERROR(COUNTIF($D42:$Y42,1)/(COUNTIF($D42:$Y42,1)+COUNTIF($D42:$Y42,0))),"",COUNTIF($D42:$Y42,1)/(COUNTIF($D42:$Y42,1)+COUNTIF($D42:$Y42,0))*General!$D$7*10)</f>
        <v/>
      </c>
      <c r="BE42" s="129" t="str">
        <f>IFERROR(AVERAGE($Z42:$AQ42) * General!$E$7, "")</f>
        <v/>
      </c>
      <c r="BF42" s="130" t="str">
        <f>IFERROR(AVERAGE($AR42:$BA42) * General!$F$7, "")</f>
        <v/>
      </c>
      <c r="BG42" s="131" t="str">
        <f>IFERROR(AVERAGE($BB42) * General!$G$7, "")</f>
        <v/>
      </c>
      <c r="BH42" s="132" t="str">
        <f>IFERROR(AVERAGE($BC42) * General!$H$7, "")</f>
        <v/>
      </c>
      <c r="BI42" s="157">
        <f t="shared" si="0"/>
        <v>0</v>
      </c>
      <c r="BJ42" s="162" t="str">
        <f t="shared" si="1"/>
        <v/>
      </c>
    </row>
    <row r="43" spans="1:62" ht="15.75" thickBot="1">
      <c r="A43" s="26">
        <f>IF(General!A44="","",General!A44)</f>
        <v>35</v>
      </c>
      <c r="B43" s="26" t="str">
        <f>IF(General!B44="","",General!B44)</f>
        <v/>
      </c>
      <c r="C43" s="26" t="str">
        <f>IF(General!C44="","",General!C44)</f>
        <v/>
      </c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110"/>
      <c r="W43" s="116"/>
      <c r="X43" s="100"/>
      <c r="Y43" s="101"/>
      <c r="Z43" s="60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2"/>
      <c r="AR43" s="63"/>
      <c r="AS43" s="64"/>
      <c r="AT43" s="64"/>
      <c r="AU43" s="64"/>
      <c r="AV43" s="64"/>
      <c r="AW43" s="64"/>
      <c r="AX43" s="64"/>
      <c r="AY43" s="64"/>
      <c r="AZ43" s="64"/>
      <c r="BA43" s="65"/>
      <c r="BB43" s="66"/>
      <c r="BC43" s="67"/>
      <c r="BD43" s="133" t="str">
        <f>IF(ISERROR(COUNTIF($D43:$Y43,1)/(COUNTIF($D43:$Y43,1)+COUNTIF($D43:$Y43,0))),"",COUNTIF($D43:$Y43,1)/(COUNTIF($D43:$Y43,1)+COUNTIF($D43:$Y43,0))*General!$D$7*10)</f>
        <v/>
      </c>
      <c r="BE43" s="134" t="str">
        <f>IFERROR(AVERAGE($Z43:$AQ43) * General!$E$7, "")</f>
        <v/>
      </c>
      <c r="BF43" s="135" t="str">
        <f>IFERROR(AVERAGE($AR43:$BA43) * General!$F$7, "")</f>
        <v/>
      </c>
      <c r="BG43" s="136" t="str">
        <f>IFERROR(AVERAGE($BB43) * General!$G$7, "")</f>
        <v/>
      </c>
      <c r="BH43" s="137" t="str">
        <f>IFERROR(AVERAGE($BC43) * General!$H$7, "")</f>
        <v/>
      </c>
      <c r="BI43" s="158">
        <f t="shared" si="0"/>
        <v>0</v>
      </c>
      <c r="BJ43" s="164" t="str">
        <f t="shared" si="1"/>
        <v/>
      </c>
    </row>
    <row r="44" spans="1:62" ht="15.75" thickTop="1">
      <c r="A44" s="121">
        <f>IF(General!A45="","",General!A45)</f>
        <v>36</v>
      </c>
      <c r="B44" s="121" t="str">
        <f>IF(General!B45="","",General!B45)</f>
        <v/>
      </c>
      <c r="C44" s="121" t="str">
        <f>IF(General!C45="","",General!C45)</f>
        <v/>
      </c>
      <c r="D44" s="68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111"/>
      <c r="W44" s="117"/>
      <c r="X44" s="102"/>
      <c r="Y44" s="103"/>
      <c r="Z44" s="70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2"/>
      <c r="AR44" s="73"/>
      <c r="AS44" s="74"/>
      <c r="AT44" s="74"/>
      <c r="AU44" s="74"/>
      <c r="AV44" s="74"/>
      <c r="AW44" s="74"/>
      <c r="AX44" s="74"/>
      <c r="AY44" s="74"/>
      <c r="AZ44" s="74"/>
      <c r="BA44" s="75"/>
      <c r="BB44" s="76"/>
      <c r="BC44" s="47"/>
      <c r="BD44" s="123" t="str">
        <f>IF(ISERROR(COUNTIF($D44:$Y44,1)/(COUNTIF($D44:$Y44,1)+COUNTIF($D44:$Y44,0))),"",COUNTIF($D44:$Y44,1)/(COUNTIF($D44:$Y44,1)+COUNTIF($D44:$Y44,0))*General!$D$7*10)</f>
        <v/>
      </c>
      <c r="BE44" s="124" t="str">
        <f>IFERROR(AVERAGE($Z44:$AQ44) * General!$E$7, "")</f>
        <v/>
      </c>
      <c r="BF44" s="125" t="str">
        <f>IFERROR(AVERAGE($AR44:$BA44) * General!$F$7, "")</f>
        <v/>
      </c>
      <c r="BG44" s="126" t="str">
        <f>IFERROR(AVERAGE($BB44) * General!$G$7, "")</f>
        <v/>
      </c>
      <c r="BH44" s="127" t="str">
        <f>IFERROR(AVERAGE($BC44) * General!$H$7, "")</f>
        <v/>
      </c>
      <c r="BI44" s="156">
        <f t="shared" si="0"/>
        <v>0</v>
      </c>
      <c r="BJ44" s="161" t="str">
        <f t="shared" si="1"/>
        <v/>
      </c>
    </row>
    <row r="45" spans="1:62" ht="15">
      <c r="A45" s="23">
        <f>IF(General!A46="","",General!A46)</f>
        <v>37</v>
      </c>
      <c r="B45" s="23" t="str">
        <f>IF(General!B46="","",General!B46)</f>
        <v/>
      </c>
      <c r="C45" s="23" t="str">
        <f>IF(General!C46="","",General!C46)</f>
        <v/>
      </c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109"/>
      <c r="W45" s="115"/>
      <c r="X45" s="98"/>
      <c r="Y45" s="99"/>
      <c r="Z45" s="50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2"/>
      <c r="AR45" s="53"/>
      <c r="AS45" s="54"/>
      <c r="AT45" s="54"/>
      <c r="AU45" s="54"/>
      <c r="AV45" s="54"/>
      <c r="AW45" s="54"/>
      <c r="AX45" s="54"/>
      <c r="AY45" s="54"/>
      <c r="AZ45" s="54"/>
      <c r="BA45" s="55"/>
      <c r="BB45" s="56"/>
      <c r="BC45" s="57"/>
      <c r="BD45" s="128" t="str">
        <f>IF(ISERROR(COUNTIF($D45:$Y45,1)/(COUNTIF($D45:$Y45,1)+COUNTIF($D45:$Y45,0))),"",COUNTIF($D45:$Y45,1)/(COUNTIF($D45:$Y45,1)+COUNTIF($D45:$Y45,0))*General!$D$7*10)</f>
        <v/>
      </c>
      <c r="BE45" s="129" t="str">
        <f>IFERROR(AVERAGE($Z45:$AQ45) * General!$E$7, "")</f>
        <v/>
      </c>
      <c r="BF45" s="130" t="str">
        <f>IFERROR(AVERAGE($AR45:$BA45) * General!$F$7, "")</f>
        <v/>
      </c>
      <c r="BG45" s="131" t="str">
        <f>IFERROR(AVERAGE($BB45) * General!$G$7, "")</f>
        <v/>
      </c>
      <c r="BH45" s="132" t="str">
        <f>IFERROR(AVERAGE($BC45) * General!$H$7, "")</f>
        <v/>
      </c>
      <c r="BI45" s="157">
        <f t="shared" si="0"/>
        <v>0</v>
      </c>
      <c r="BJ45" s="162" t="str">
        <f t="shared" si="1"/>
        <v/>
      </c>
    </row>
    <row r="46" spans="1:62" ht="15">
      <c r="A46" s="23">
        <f>IF(General!A47="","",General!A47)</f>
        <v>38</v>
      </c>
      <c r="B46" s="23" t="str">
        <f>IF(General!B47="","",General!B47)</f>
        <v/>
      </c>
      <c r="C46" s="23" t="str">
        <f>IF(General!C47="","",General!C47)</f>
        <v/>
      </c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109"/>
      <c r="W46" s="115"/>
      <c r="X46" s="98"/>
      <c r="Y46" s="99"/>
      <c r="Z46" s="50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2"/>
      <c r="AR46" s="53"/>
      <c r="AS46" s="54"/>
      <c r="AT46" s="54"/>
      <c r="AU46" s="54"/>
      <c r="AV46" s="54"/>
      <c r="AW46" s="54"/>
      <c r="AX46" s="54"/>
      <c r="AY46" s="54"/>
      <c r="AZ46" s="54"/>
      <c r="BA46" s="55"/>
      <c r="BB46" s="56"/>
      <c r="BC46" s="57"/>
      <c r="BD46" s="128" t="str">
        <f>IF(ISERROR(COUNTIF($D46:$Y46,1)/(COUNTIF($D46:$Y46,1)+COUNTIF($D46:$Y46,0))),"",COUNTIF($D46:$Y46,1)/(COUNTIF($D46:$Y46,1)+COUNTIF($D46:$Y46,0))*General!$D$7*10)</f>
        <v/>
      </c>
      <c r="BE46" s="129" t="str">
        <f>IFERROR(AVERAGE($Z46:$AQ46) * General!$E$7, "")</f>
        <v/>
      </c>
      <c r="BF46" s="130" t="str">
        <f>IFERROR(AVERAGE($AR46:$BA46) * General!$F$7, "")</f>
        <v/>
      </c>
      <c r="BG46" s="131" t="str">
        <f>IFERROR(AVERAGE($BB46) * General!$G$7, "")</f>
        <v/>
      </c>
      <c r="BH46" s="132" t="str">
        <f>IFERROR(AVERAGE($BC46) * General!$H$7, "")</f>
        <v/>
      </c>
      <c r="BI46" s="157">
        <f t="shared" si="0"/>
        <v>0</v>
      </c>
      <c r="BJ46" s="162" t="str">
        <f t="shared" si="1"/>
        <v/>
      </c>
    </row>
    <row r="47" spans="1:62" ht="15">
      <c r="A47" s="23" t="str">
        <f>IF(General!A48="","",General!A48)</f>
        <v/>
      </c>
      <c r="B47" s="23" t="str">
        <f>IF(General!B48="","",General!B48)</f>
        <v/>
      </c>
      <c r="C47" s="23" t="str">
        <f>IF(General!C48="","",General!C48)</f>
        <v/>
      </c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109"/>
      <c r="W47" s="115"/>
      <c r="X47" s="98"/>
      <c r="Y47" s="99"/>
      <c r="Z47" s="50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2"/>
      <c r="AR47" s="53"/>
      <c r="AS47" s="54"/>
      <c r="AT47" s="54"/>
      <c r="AU47" s="54"/>
      <c r="AV47" s="54"/>
      <c r="AW47" s="54"/>
      <c r="AX47" s="54"/>
      <c r="AY47" s="54"/>
      <c r="AZ47" s="54"/>
      <c r="BA47" s="55"/>
      <c r="BB47" s="56"/>
      <c r="BC47" s="57"/>
      <c r="BD47" s="128" t="str">
        <f>IF(ISERROR(COUNTIF($D47:$Y47,1)/(COUNTIF($D47:$Y47,1)+COUNTIF($D47:$Y47,0))),"",COUNTIF($D47:$Y47,1)/(COUNTIF($D47:$Y47,1)+COUNTIF($D47:$Y47,0))*General!$D$7*10)</f>
        <v/>
      </c>
      <c r="BE47" s="129" t="str">
        <f>IFERROR(AVERAGE($Z47:$AQ47) * General!$E$7, "")</f>
        <v/>
      </c>
      <c r="BF47" s="130" t="str">
        <f>IFERROR(AVERAGE($AR47:$BA47) * General!$F$7, "")</f>
        <v/>
      </c>
      <c r="BG47" s="131" t="str">
        <f>IFERROR(AVERAGE($BB47) * General!$G$7, "")</f>
        <v/>
      </c>
      <c r="BH47" s="132" t="str">
        <f>IFERROR(AVERAGE($BC47) * General!$H$7, "")</f>
        <v/>
      </c>
      <c r="BI47" s="157">
        <f t="shared" si="0"/>
        <v>0</v>
      </c>
      <c r="BJ47" s="162" t="str">
        <f t="shared" si="1"/>
        <v/>
      </c>
    </row>
    <row r="48" spans="1:62" ht="15.75" thickBot="1">
      <c r="A48" s="26" t="str">
        <f>IF(General!A49="","",General!A49)</f>
        <v/>
      </c>
      <c r="B48" s="26" t="str">
        <f>IF(General!B49="","",General!B49)</f>
        <v/>
      </c>
      <c r="C48" s="26" t="str">
        <f>IF(General!C49="","",General!C49)</f>
        <v/>
      </c>
      <c r="D48" s="58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110"/>
      <c r="W48" s="116"/>
      <c r="X48" s="100"/>
      <c r="Y48" s="101"/>
      <c r="Z48" s="60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2"/>
      <c r="AR48" s="63"/>
      <c r="AS48" s="64"/>
      <c r="AT48" s="64"/>
      <c r="AU48" s="64"/>
      <c r="AV48" s="64"/>
      <c r="AW48" s="64"/>
      <c r="AX48" s="64"/>
      <c r="AY48" s="64"/>
      <c r="AZ48" s="64"/>
      <c r="BA48" s="65"/>
      <c r="BB48" s="66"/>
      <c r="BC48" s="67"/>
      <c r="BD48" s="133" t="str">
        <f>IF(ISERROR(COUNTIF($D48:$Y48,1)/(COUNTIF($D48:$Y48,1)+COUNTIF($D48:$Y48,0))),"",COUNTIF($D48:$Y48,1)/(COUNTIF($D48:$Y48,1)+COUNTIF($D48:$Y48,0))*General!$D$7*10)</f>
        <v/>
      </c>
      <c r="BE48" s="134" t="str">
        <f>IFERROR(AVERAGE($Z48:$AQ48) * General!$E$7, "")</f>
        <v/>
      </c>
      <c r="BF48" s="135" t="str">
        <f>IFERROR(AVERAGE($AR48:$BA48) * General!$F$7, "")</f>
        <v/>
      </c>
      <c r="BG48" s="136" t="str">
        <f>IFERROR(AVERAGE($BB48) * General!$G$7, "")</f>
        <v/>
      </c>
      <c r="BH48" s="137" t="str">
        <f>IFERROR(AVERAGE($BC48) * General!$H$7, "")</f>
        <v/>
      </c>
      <c r="BI48" s="158">
        <f t="shared" si="0"/>
        <v>0</v>
      </c>
      <c r="BJ48" s="164" t="str">
        <f t="shared" si="1"/>
        <v/>
      </c>
    </row>
    <row r="49" spans="1:62" ht="15.75" thickTop="1">
      <c r="A49" s="19" t="str">
        <f>IF(General!A50="","",General!A50)</f>
        <v/>
      </c>
      <c r="B49" s="19" t="str">
        <f>IF(General!B50="","",General!B50)</f>
        <v/>
      </c>
      <c r="C49" s="19" t="str">
        <f>IF(General!C50="","",General!C50)</f>
        <v/>
      </c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112"/>
      <c r="W49" s="118"/>
      <c r="X49" s="104"/>
      <c r="Y49" s="105"/>
      <c r="Z49" s="79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1"/>
      <c r="AR49" s="82"/>
      <c r="AS49" s="83"/>
      <c r="AT49" s="83"/>
      <c r="AU49" s="83"/>
      <c r="AV49" s="83"/>
      <c r="AW49" s="83"/>
      <c r="AX49" s="83"/>
      <c r="AY49" s="83"/>
      <c r="AZ49" s="83"/>
      <c r="BA49" s="84"/>
      <c r="BB49" s="46"/>
      <c r="BC49" s="47"/>
      <c r="BD49" s="123" t="str">
        <f>IF(ISERROR(COUNTIF($D49:$Y49,1)/(COUNTIF($D49:$Y49,1)+COUNTIF($D49:$Y49,0))),"",COUNTIF($D49:$Y49,1)/(COUNTIF($D49:$Y49,1)+COUNTIF($D49:$Y49,0))*General!$D$7*10)</f>
        <v/>
      </c>
      <c r="BE49" s="124" t="str">
        <f>IFERROR(AVERAGE($Z49:$AQ49) * General!$E$7, "")</f>
        <v/>
      </c>
      <c r="BF49" s="125" t="str">
        <f>IFERROR(AVERAGE($AR49:$BA49) * General!$F$7, "")</f>
        <v/>
      </c>
      <c r="BG49" s="126" t="str">
        <f>IFERROR(AVERAGE($BB49) * General!$G$7, "")</f>
        <v/>
      </c>
      <c r="BH49" s="127" t="str">
        <f>IFERROR(AVERAGE($BC49) * General!$H$7, "")</f>
        <v/>
      </c>
      <c r="BI49" s="156">
        <f t="shared" si="0"/>
        <v>0</v>
      </c>
      <c r="BJ49" s="161" t="str">
        <f t="shared" si="1"/>
        <v/>
      </c>
    </row>
    <row r="50" spans="1:62" ht="15">
      <c r="A50" s="23" t="str">
        <f>IF(General!A51="","",General!A51)</f>
        <v/>
      </c>
      <c r="B50" s="23" t="str">
        <f>IF(General!B51="","",General!B51)</f>
        <v/>
      </c>
      <c r="C50" s="23" t="str">
        <f>IF(General!C51="","",General!C51)</f>
        <v/>
      </c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109"/>
      <c r="W50" s="115"/>
      <c r="X50" s="98"/>
      <c r="Y50" s="99"/>
      <c r="Z50" s="50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2"/>
      <c r="AR50" s="53"/>
      <c r="AS50" s="54"/>
      <c r="AT50" s="54"/>
      <c r="AU50" s="54"/>
      <c r="AV50" s="54"/>
      <c r="AW50" s="54"/>
      <c r="AX50" s="54"/>
      <c r="AY50" s="54"/>
      <c r="AZ50" s="54"/>
      <c r="BA50" s="55"/>
      <c r="BB50" s="56"/>
      <c r="BC50" s="57"/>
      <c r="BD50" s="128" t="str">
        <f>IF(ISERROR(COUNTIF($D50:$Y50,1)/(COUNTIF($D50:$Y50,1)+COUNTIF($D50:$Y50,0))),"",COUNTIF($D50:$Y50,1)/(COUNTIF($D50:$Y50,1)+COUNTIF($D50:$Y50,0))*General!$D$7*10)</f>
        <v/>
      </c>
      <c r="BE50" s="129" t="str">
        <f>IFERROR(AVERAGE($Z50:$AQ50) * General!$E$7, "")</f>
        <v/>
      </c>
      <c r="BF50" s="130" t="str">
        <f>IFERROR(AVERAGE($AR50:$BA50) * General!$F$7, "")</f>
        <v/>
      </c>
      <c r="BG50" s="131" t="str">
        <f>IFERROR(AVERAGE($BB50) * General!$G$7, "")</f>
        <v/>
      </c>
      <c r="BH50" s="132" t="str">
        <f>IFERROR(AVERAGE($BC50) * General!$H$7, "")</f>
        <v/>
      </c>
      <c r="BI50" s="157">
        <f t="shared" si="0"/>
        <v>0</v>
      </c>
      <c r="BJ50" s="162" t="str">
        <f t="shared" si="1"/>
        <v/>
      </c>
    </row>
    <row r="51" spans="1:62" ht="15">
      <c r="A51" s="23" t="str">
        <f>IF(General!A52="","",General!A52)</f>
        <v/>
      </c>
      <c r="B51" s="23" t="str">
        <f>IF(General!B52="","",General!B52)</f>
        <v/>
      </c>
      <c r="C51" s="23" t="str">
        <f>IF(General!C52="","",General!C52)</f>
        <v/>
      </c>
      <c r="D51" s="48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109"/>
      <c r="W51" s="115"/>
      <c r="X51" s="98"/>
      <c r="Y51" s="99"/>
      <c r="Z51" s="50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2"/>
      <c r="AR51" s="53"/>
      <c r="AS51" s="54"/>
      <c r="AT51" s="54"/>
      <c r="AU51" s="54"/>
      <c r="AV51" s="54"/>
      <c r="AW51" s="54"/>
      <c r="AX51" s="54"/>
      <c r="AY51" s="54"/>
      <c r="AZ51" s="54"/>
      <c r="BA51" s="55"/>
      <c r="BB51" s="56"/>
      <c r="BC51" s="57"/>
      <c r="BD51" s="128" t="str">
        <f>IF(ISERROR(COUNTIF($D51:$Y51,1)/(COUNTIF($D51:$Y51,1)+COUNTIF($D51:$Y51,0))),"",COUNTIF($D51:$Y51,1)/(COUNTIF($D51:$Y51,1)+COUNTIF($D51:$Y51,0))*General!$D$7*10)</f>
        <v/>
      </c>
      <c r="BE51" s="129" t="str">
        <f>IFERROR(AVERAGE($Z51:$AQ51) * General!$E$7, "")</f>
        <v/>
      </c>
      <c r="BF51" s="130" t="str">
        <f>IFERROR(AVERAGE($AR51:$BA51) * General!$F$7, "")</f>
        <v/>
      </c>
      <c r="BG51" s="131" t="str">
        <f>IFERROR(AVERAGE($BB51) * General!$G$7, "")</f>
        <v/>
      </c>
      <c r="BH51" s="132" t="str">
        <f>IFERROR(AVERAGE($BC51) * General!$H$7, "")</f>
        <v/>
      </c>
      <c r="BI51" s="157">
        <f t="shared" si="0"/>
        <v>0</v>
      </c>
      <c r="BJ51" s="162" t="str">
        <f t="shared" si="1"/>
        <v/>
      </c>
    </row>
    <row r="52" spans="1:62" ht="15">
      <c r="A52" s="23" t="str">
        <f>IF(General!A53="","",General!A53)</f>
        <v/>
      </c>
      <c r="B52" s="23" t="str">
        <f>IF(General!B53="","",General!B53)</f>
        <v/>
      </c>
      <c r="C52" s="23" t="str">
        <f>IF(General!C53="","",General!C53)</f>
        <v/>
      </c>
      <c r="D52" s="48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109"/>
      <c r="W52" s="115"/>
      <c r="X52" s="98"/>
      <c r="Y52" s="99"/>
      <c r="Z52" s="50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2"/>
      <c r="AR52" s="53"/>
      <c r="AS52" s="54"/>
      <c r="AT52" s="54"/>
      <c r="AU52" s="54"/>
      <c r="AV52" s="54"/>
      <c r="AW52" s="54"/>
      <c r="AX52" s="54"/>
      <c r="AY52" s="54"/>
      <c r="AZ52" s="54"/>
      <c r="BA52" s="55"/>
      <c r="BB52" s="56"/>
      <c r="BC52" s="57"/>
      <c r="BD52" s="128" t="str">
        <f>IF(ISERROR(COUNTIF($D52:$Y52,1)/(COUNTIF($D52:$Y52,1)+COUNTIF($D52:$Y52,0))),"",COUNTIF($D52:$Y52,1)/(COUNTIF($D52:$Y52,1)+COUNTIF($D52:$Y52,0))*General!$D$7*10)</f>
        <v/>
      </c>
      <c r="BE52" s="129" t="str">
        <f>IFERROR(AVERAGE($Z52:$AQ52) * General!$E$7, "")</f>
        <v/>
      </c>
      <c r="BF52" s="130" t="str">
        <f>IFERROR(AVERAGE($AR52:$BA52) * General!$F$7, "")</f>
        <v/>
      </c>
      <c r="BG52" s="131" t="str">
        <f>IFERROR(AVERAGE($BB52) * General!$G$7, "")</f>
        <v/>
      </c>
      <c r="BH52" s="132" t="str">
        <f>IFERROR(AVERAGE($BC52) * General!$H$7, "")</f>
        <v/>
      </c>
      <c r="BI52" s="157">
        <f t="shared" si="0"/>
        <v>0</v>
      </c>
      <c r="BJ52" s="162" t="str">
        <f t="shared" si="1"/>
        <v/>
      </c>
    </row>
    <row r="53" spans="1:62" ht="15.75" thickBot="1">
      <c r="A53" s="31" t="str">
        <f>IF(General!A54="","",General!A54)</f>
        <v/>
      </c>
      <c r="B53" s="31" t="str">
        <f>IF(General!B54="","",General!B54)</f>
        <v/>
      </c>
      <c r="C53" s="31" t="str">
        <f>IF(General!C54="","",General!C54)</f>
        <v/>
      </c>
      <c r="D53" s="85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113"/>
      <c r="W53" s="119"/>
      <c r="X53" s="106"/>
      <c r="Y53" s="107"/>
      <c r="Z53" s="87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9"/>
      <c r="AR53" s="90"/>
      <c r="AS53" s="91"/>
      <c r="AT53" s="91"/>
      <c r="AU53" s="91"/>
      <c r="AV53" s="91"/>
      <c r="AW53" s="91"/>
      <c r="AX53" s="91"/>
      <c r="AY53" s="91"/>
      <c r="AZ53" s="91"/>
      <c r="BA53" s="92"/>
      <c r="BB53" s="93"/>
      <c r="BC53" s="94"/>
      <c r="BD53" s="138" t="str">
        <f>IF(ISERROR(COUNTIF($D53:$Y53,1)/(COUNTIF($D53:$Y53,1)+COUNTIF($D53:$Y53,0))),"",COUNTIF($D53:$Y53,1)/(COUNTIF($D53:$Y53,1)+COUNTIF($D53:$Y53,0))*General!$D$7*10)</f>
        <v/>
      </c>
      <c r="BE53" s="139" t="str">
        <f>IFERROR(AVERAGE($Z53:$AQ53) * General!$E$7, "")</f>
        <v/>
      </c>
      <c r="BF53" s="140" t="str">
        <f>IFERROR(AVERAGE($AR53:$BA53) * General!$F$7, "")</f>
        <v/>
      </c>
      <c r="BG53" s="141" t="str">
        <f>IFERROR(AVERAGE($BB53) * General!$G$7, "")</f>
        <v/>
      </c>
      <c r="BH53" s="142" t="str">
        <f>IFERROR(AVERAGE($BC53) * General!$H$7, "")</f>
        <v/>
      </c>
      <c r="BI53" s="159">
        <f t="shared" si="0"/>
        <v>0</v>
      </c>
      <c r="BJ53" s="163" t="str">
        <f t="shared" si="1"/>
        <v/>
      </c>
    </row>
    <row r="54" spans="1:62">
      <c r="A54" s="1" t="str">
        <f>IF(General!A55="","",General!A55)</f>
        <v/>
      </c>
      <c r="B54" s="1" t="str">
        <f>IF(General!B55="","",General!B55)</f>
        <v/>
      </c>
      <c r="C54" s="1" t="str">
        <f>IF(General!C55="","",General!C55)</f>
        <v/>
      </c>
    </row>
  </sheetData>
  <mergeCells count="78">
    <mergeCell ref="U4:X4"/>
    <mergeCell ref="A1:C2"/>
    <mergeCell ref="E2:X2"/>
    <mergeCell ref="A3:B3"/>
    <mergeCell ref="E3:H3"/>
    <mergeCell ref="I3:L3"/>
    <mergeCell ref="M3:P3"/>
    <mergeCell ref="Q3:T3"/>
    <mergeCell ref="U3:X3"/>
    <mergeCell ref="A4:B4"/>
    <mergeCell ref="E4:H4"/>
    <mergeCell ref="I4:L4"/>
    <mergeCell ref="M4:P4"/>
    <mergeCell ref="Q4:T4"/>
    <mergeCell ref="A5:B5"/>
    <mergeCell ref="A6:A8"/>
    <mergeCell ref="B6:B8"/>
    <mergeCell ref="C6:C8"/>
    <mergeCell ref="D6:Y6"/>
    <mergeCell ref="T7:T8"/>
    <mergeCell ref="P7:P8"/>
    <mergeCell ref="Q7:Q8"/>
    <mergeCell ref="R7:R8"/>
    <mergeCell ref="S7:S8"/>
    <mergeCell ref="U7:U8"/>
    <mergeCell ref="V7:V8"/>
    <mergeCell ref="K7:K8"/>
    <mergeCell ref="L7:L8"/>
    <mergeCell ref="M7:M8"/>
    <mergeCell ref="N7:N8"/>
    <mergeCell ref="BD6:BD8"/>
    <mergeCell ref="BE6:BE8"/>
    <mergeCell ref="O7:O8"/>
    <mergeCell ref="BF6:BF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Z6:AQ6"/>
    <mergeCell ref="AF7:AF8"/>
    <mergeCell ref="Z7:Z8"/>
    <mergeCell ref="I7:I8"/>
    <mergeCell ref="J7:J8"/>
    <mergeCell ref="AR6:BA6"/>
    <mergeCell ref="BB6:BB8"/>
    <mergeCell ref="BC6:BC8"/>
    <mergeCell ref="AA7:AA8"/>
    <mergeCell ref="AB7:AB8"/>
    <mergeCell ref="AC7:AC8"/>
    <mergeCell ref="AD7:AD8"/>
    <mergeCell ref="AE7:AE8"/>
    <mergeCell ref="W7:Y8"/>
    <mergeCell ref="D7:D8"/>
    <mergeCell ref="E7:E8"/>
    <mergeCell ref="F7:F8"/>
    <mergeCell ref="G7:G8"/>
    <mergeCell ref="H7:H8"/>
    <mergeCell ref="BJ6:BJ8"/>
    <mergeCell ref="AR7:AR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BG6:BG8"/>
    <mergeCell ref="BH6:BH8"/>
    <mergeCell ref="BI6:BI8"/>
  </mergeCells>
  <dataValidations count="5">
    <dataValidation allowBlank="1" showInputMessage="1" showErrorMessage="1" promptTitle="Fecha" prompt="Escribe la fecha con este formato: 01-01-2025" sqref="D7:V8" xr:uid="{3DA3D6E9-CE42-4FEF-BEE3-6AF37021FD3E}"/>
    <dataValidation allowBlank="1" showInputMessage="1" showErrorMessage="1" promptTitle="Nombre" prompt="Escribe el nombre de la actividad" sqref="Z7:AQ8" xr:uid="{700F7225-AEAA-43F1-9022-8B8800AD5294}"/>
    <dataValidation allowBlank="1" showInputMessage="1" showErrorMessage="1" promptTitle="Nombre" prompt="Escribe el nombre de la evidencia" sqref="AR7:BA8" xr:uid="{B9F2AE48-4617-4470-95E6-9224EC37A880}"/>
    <dataValidation allowBlank="1" showInputMessage="1" showErrorMessage="1" promptTitle="Faltas por retardos" prompt="Cuando el alumno acumule tres retardos en el regisitro, deberás de colocar una falta en esta sección." sqref="W7:Y8" xr:uid="{FB87EABA-D3B0-4BBB-BC66-F70C86321C89}"/>
    <dataValidation type="list" allowBlank="1" showDropDown="1" showInputMessage="1" showErrorMessage="1" errorTitle="Advertencia" error="Solamente puedes escribir: 1-Asistencia, 0-Falta, y R-Retardo." sqref="D9:Y53" xr:uid="{5586B402-72C3-4A06-965D-C3CC543009E8}">
      <formula1>"1, 0, R, r"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7920C9E-BC3C-4E64-B95B-279E247C8C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D9:Y53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Parcial_1</vt:lpstr>
      <vt:lpstr>Parcial_2</vt:lpstr>
      <vt:lpstr>Parcial_3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Soto Joel</dc:creator>
  <cp:lastModifiedBy>Brandon Ruiz</cp:lastModifiedBy>
  <dcterms:created xsi:type="dcterms:W3CDTF">2024-12-16T01:36:30Z</dcterms:created>
  <dcterms:modified xsi:type="dcterms:W3CDTF">2026-01-13T16:53:22Z</dcterms:modified>
</cp:coreProperties>
</file>